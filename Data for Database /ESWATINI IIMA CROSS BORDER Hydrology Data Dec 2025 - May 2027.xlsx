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C:\Users\spenc\Desktop\HYDROLOGY\"/>
    </mc:Choice>
  </mc:AlternateContent>
  <xr:revisionPtr revIDLastSave="0" documentId="8_{874C6E4E-5231-41C1-9A85-F56B65F60DB9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GS 8 " sheetId="3" r:id="rId1"/>
    <sheet name="GS 21" sheetId="7" r:id="rId2"/>
    <sheet name="GS 23" sheetId="6" r:id="rId3"/>
    <sheet name="GS 25 " sheetId="2" r:id="rId4"/>
    <sheet name="GS 31" sheetId="8" r:id="rId5"/>
    <sheet name="GS 39 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5" l="1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tc={45F84AE2-1CD8-41B9-A0C1-CAC76559C1B7}</author>
    <author>tc={29F74D9F-A371-4128-945C-AA6255D287F7}</author>
    <author>tc={83031351-C4E6-46F7-94A2-A5730BC87127}</author>
  </authors>
  <commentList>
    <comment ref="C7" authorId="0" shapeId="0" xr:uid="{45F84AE2-1CD8-41B9-A0C1-CAC76559C1B7}">
      <text>
        <t>[Threaded comment]
Your version of Excel allows you to read this threaded comment; however, any edits to it will get removed if the file is opened in a newer version of Excel. Learn more: https://go.microsoft.com/fwlink/?linkid=870924
Comment:
    Telemetry mulfunction</t>
      </text>
    </comment>
    <comment ref="C20" authorId="1" shapeId="0" xr:uid="{29F74D9F-A371-4128-945C-AA6255D287F7}">
      <text>
        <t>[Threaded comment]
Your version of Excel allows you to read this threaded comment; however, any edits to it will get removed if the file is opened in a newer version of Excel. Learn more: https://go.microsoft.com/fwlink/?linkid=870924
Comment:
    Telemetry mulfunction</t>
      </text>
    </comment>
    <comment ref="C56" authorId="2" shapeId="0" xr:uid="{83031351-C4E6-46F7-94A2-A5730BC87127}">
      <text>
        <t>[Threaded comment]
Your version of Excel allows you to read this threaded comment; however, any edits to it will get removed if the file is opened in a newer version of Excel. Learn more: https://go.microsoft.com/fwlink/?linkid=870924
Comment:
    Telemetry mulfunction</t>
      </text>
    </comment>
  </commentList>
</comments>
</file>

<file path=xl/sharedStrings.xml><?xml version="1.0" encoding="utf-8"?>
<sst xmlns="http://schemas.openxmlformats.org/spreadsheetml/2006/main" count="20" uniqueCount="13">
  <si>
    <t>Date</t>
  </si>
  <si>
    <t>Normal Flows (m3/s)</t>
  </si>
  <si>
    <t>GS 25 Flows (m3/s)</t>
  </si>
  <si>
    <t>GS 8 Flow (m3/s)</t>
  </si>
  <si>
    <t>GS 39 Flow (m3/s)</t>
  </si>
  <si>
    <t xml:space="preserve">Date </t>
  </si>
  <si>
    <t>TCN Stage(m)</t>
  </si>
  <si>
    <t>TCN Flow (m3/s)</t>
  </si>
  <si>
    <t>transmission issues</t>
  </si>
  <si>
    <t>Stage(m)</t>
  </si>
  <si>
    <r>
      <t xml:space="preserve"> Flow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/s)</t>
    </r>
  </si>
  <si>
    <t>Transmission issues</t>
  </si>
  <si>
    <r>
      <t>TCN Flow (m</t>
    </r>
    <r>
      <rPr>
        <b/>
        <vertAlign val="superscript"/>
        <sz val="11"/>
        <color theme="1"/>
        <rFont val="Calibri"/>
        <family val="2"/>
        <scheme val="minor"/>
      </rPr>
      <t>3</t>
    </r>
    <r>
      <rPr>
        <b/>
        <sz val="11"/>
        <color theme="1"/>
        <rFont val="Calibri"/>
        <family val="2"/>
        <scheme val="minor"/>
      </rPr>
      <t>/s)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</si>
</sst>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8" formatCode="0.00;[Red]0.00"/>
    <numFmt numFmtId="169" formatCode="[$-809]d\ mmmm\ yyyy;@"/>
    <numFmt numFmtId="170" formatCode="0.000_ "/>
    <numFmt numFmtId="171" formatCode="0.000;[Red]0.000"/>
    <numFmt numFmtId="173" formatCode="0.00_ "/>
    <numFmt numFmtId="174" formatCode="0.000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b/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168" fontId="2" fillId="2" borderId="1" xfId="0" applyNumberFormat="1" applyFont="1" applyFill="1" applyBorder="1">
      <alignment vertical="center"/>
    </xf>
    <xf numFmtId="0" fontId="0" fillId="0" borderId="2" xfId="0" applyBorder="1" applyAlignment="1"/>
    <xf numFmtId="169" fontId="0" fillId="0" borderId="3" xfId="0" applyNumberFormat="1" applyBorder="1" applyAlignment="1"/>
    <xf numFmtId="0" fontId="0" fillId="0" borderId="2" xfId="0" applyBorder="1" applyAlignment="1">
      <alignment horizontal="center"/>
    </xf>
    <xf numFmtId="170" fontId="0" fillId="0" borderId="2" xfId="0" applyNumberFormat="1" applyBorder="1" applyAlignment="1">
      <alignment horizontal="center"/>
    </xf>
    <xf numFmtId="171" fontId="0" fillId="0" borderId="4" xfId="0" applyNumberFormat="1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3" fillId="0" borderId="0" xfId="0" applyFont="1" applyAlignment="1"/>
    <xf numFmtId="0" fontId="2" fillId="3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5" fontId="0" fillId="0" borderId="4" xfId="0" applyNumberFormat="1" applyBorder="1" applyAlignment="1">
      <alignment horizontal="center" vertical="center"/>
    </xf>
    <xf numFmtId="170" fontId="0" fillId="0" borderId="4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73" fontId="0" fillId="0" borderId="4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8" fontId="2" fillId="2" borderId="1" xfId="0" applyNumberFormat="1" applyFont="1" applyFill="1" applyBorder="1" applyAlignment="1">
      <alignment horizontal="center" vertical="center"/>
    </xf>
    <xf numFmtId="168" fontId="4" fillId="0" borderId="4" xfId="0" applyNumberFormat="1" applyFont="1" applyBorder="1" applyAlignment="1">
      <alignment horizontal="center"/>
    </xf>
    <xf numFmtId="168" fontId="0" fillId="0" borderId="0" xfId="0" applyNumberFormat="1" applyAlignment="1">
      <alignment horizontal="center"/>
    </xf>
    <xf numFmtId="168" fontId="3" fillId="0" borderId="0" xfId="0" applyNumberFormat="1" applyFont="1" applyAlignment="1">
      <alignment horizontal="center"/>
    </xf>
    <xf numFmtId="168" fontId="4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0" fontId="5" fillId="0" borderId="5" xfId="0" applyFont="1" applyBorder="1">
      <alignment vertical="center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6" xfId="0" applyFont="1" applyBorder="1" applyAlignment="1">
      <alignment wrapText="1"/>
    </xf>
    <xf numFmtId="15" fontId="6" fillId="0" borderId="2" xfId="0" applyNumberFormat="1" applyFont="1" applyBorder="1" applyAlignment="1"/>
    <xf numFmtId="174" fontId="7" fillId="0" borderId="4" xfId="0" applyNumberFormat="1" applyFont="1" applyBorder="1" applyAlignment="1">
      <alignment horizontal="center"/>
    </xf>
    <xf numFmtId="174" fontId="8" fillId="4" borderId="4" xfId="0" applyNumberFormat="1" applyFont="1" applyFill="1" applyBorder="1" applyAlignment="1">
      <alignment horizontal="center"/>
    </xf>
    <xf numFmtId="15" fontId="6" fillId="0" borderId="4" xfId="0" applyNumberFormat="1" applyFont="1" applyBorder="1" applyAlignment="1"/>
    <xf numFmtId="174" fontId="0" fillId="5" borderId="7" xfId="0" applyNumberFormat="1" applyFill="1" applyBorder="1" applyAlignment="1">
      <alignment horizontal="center" wrapText="1"/>
    </xf>
    <xf numFmtId="174" fontId="1" fillId="0" borderId="4" xfId="0" applyNumberFormat="1" applyFont="1" applyBorder="1" applyAlignment="1">
      <alignment horizontal="center"/>
    </xf>
    <xf numFmtId="174" fontId="0" fillId="0" borderId="4" xfId="0" applyNumberFormat="1" applyBorder="1" applyAlignment="1">
      <alignment horizontal="center"/>
    </xf>
    <xf numFmtId="0" fontId="10" fillId="0" borderId="5" xfId="0" applyFont="1" applyBorder="1">
      <alignment vertical="center"/>
    </xf>
    <xf numFmtId="0" fontId="10" fillId="0" borderId="8" xfId="0" applyFont="1" applyBorder="1" applyAlignment="1">
      <alignment vertical="center" wrapText="1"/>
    </xf>
    <xf numFmtId="15" fontId="0" fillId="0" borderId="2" xfId="0" applyNumberFormat="1" applyBorder="1" applyAlignment="1"/>
    <xf numFmtId="174" fontId="0" fillId="0" borderId="4" xfId="0" applyNumberFormat="1" applyBorder="1" applyAlignment="1"/>
    <xf numFmtId="174" fontId="12" fillId="4" borderId="4" xfId="0" applyNumberFormat="1" applyFont="1" applyFill="1" applyBorder="1" applyAlignment="1"/>
    <xf numFmtId="0" fontId="10" fillId="5" borderId="5" xfId="0" applyFont="1" applyFill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15" fontId="1" fillId="0" borderId="2" xfId="0" applyNumberFormat="1" applyFont="1" applyBorder="1" applyAlignment="1"/>
    <xf numFmtId="174" fontId="0" fillId="5" borderId="10" xfId="0" applyNumberFormat="1" applyFill="1" applyBorder="1" applyAlignment="1">
      <alignment horizontal="center" wrapText="1"/>
    </xf>
    <xf numFmtId="174" fontId="12" fillId="4" borderId="10" xfId="0" applyNumberFormat="1" applyFont="1" applyFill="1" applyBorder="1" applyAlignment="1">
      <alignment horizontal="center" wrapText="1"/>
    </xf>
    <xf numFmtId="174" fontId="12" fillId="4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GS 39 - Ndlotane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en-GB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1.5705128205128201E-2"/>
          <c:y val="9.6596819735473294E-3"/>
          <c:w val="0.94564479638009002"/>
          <c:h val="0.60475553574082297"/>
        </c:manualLayout>
      </c:layout>
      <c:lineChart>
        <c:grouping val="standard"/>
        <c:varyColors val="0"/>
        <c:ser>
          <c:idx val="0"/>
          <c:order val="0"/>
          <c:tx>
            <c:strRef>
              <c:f>'GS 39 '!$B$2</c:f>
              <c:strCache>
                <c:ptCount val="1"/>
                <c:pt idx="0">
                  <c:v>Normal Flows (m3/s)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'GS 39 '!$A$3:$A$81</c:f>
              <c:numCache>
                <c:formatCode>[$-809]d\ mmmm\ yyyy;@</c:formatCode>
                <c:ptCount val="79"/>
                <c:pt idx="1">
                  <c:v>45972</c:v>
                </c:pt>
                <c:pt idx="2">
                  <c:v>45973</c:v>
                </c:pt>
                <c:pt idx="3">
                  <c:v>45974</c:v>
                </c:pt>
                <c:pt idx="4">
                  <c:v>45975</c:v>
                </c:pt>
                <c:pt idx="5">
                  <c:v>45976</c:v>
                </c:pt>
                <c:pt idx="6">
                  <c:v>45977</c:v>
                </c:pt>
                <c:pt idx="7">
                  <c:v>45978</c:v>
                </c:pt>
                <c:pt idx="8">
                  <c:v>45979</c:v>
                </c:pt>
                <c:pt idx="9">
                  <c:v>45980</c:v>
                </c:pt>
                <c:pt idx="10">
                  <c:v>45981</c:v>
                </c:pt>
                <c:pt idx="11">
                  <c:v>45982</c:v>
                </c:pt>
                <c:pt idx="12">
                  <c:v>45983</c:v>
                </c:pt>
                <c:pt idx="13">
                  <c:v>45984</c:v>
                </c:pt>
                <c:pt idx="14">
                  <c:v>45985</c:v>
                </c:pt>
                <c:pt idx="15">
                  <c:v>45986</c:v>
                </c:pt>
                <c:pt idx="16">
                  <c:v>45987</c:v>
                </c:pt>
                <c:pt idx="17">
                  <c:v>45988</c:v>
                </c:pt>
                <c:pt idx="18">
                  <c:v>45989</c:v>
                </c:pt>
                <c:pt idx="19">
                  <c:v>45990</c:v>
                </c:pt>
                <c:pt idx="20">
                  <c:v>45991</c:v>
                </c:pt>
                <c:pt idx="21">
                  <c:v>45992</c:v>
                </c:pt>
                <c:pt idx="22">
                  <c:v>45993</c:v>
                </c:pt>
                <c:pt idx="23">
                  <c:v>45994</c:v>
                </c:pt>
                <c:pt idx="24">
                  <c:v>45995</c:v>
                </c:pt>
                <c:pt idx="25">
                  <c:v>45996</c:v>
                </c:pt>
                <c:pt idx="26">
                  <c:v>45997</c:v>
                </c:pt>
                <c:pt idx="27">
                  <c:v>45998</c:v>
                </c:pt>
                <c:pt idx="28">
                  <c:v>45999</c:v>
                </c:pt>
                <c:pt idx="29">
                  <c:v>46000</c:v>
                </c:pt>
                <c:pt idx="30">
                  <c:v>46001</c:v>
                </c:pt>
                <c:pt idx="31">
                  <c:v>46002</c:v>
                </c:pt>
                <c:pt idx="32">
                  <c:v>46003</c:v>
                </c:pt>
                <c:pt idx="33">
                  <c:v>46004</c:v>
                </c:pt>
                <c:pt idx="34">
                  <c:v>46005</c:v>
                </c:pt>
                <c:pt idx="35">
                  <c:v>46006</c:v>
                </c:pt>
                <c:pt idx="36">
                  <c:v>46007</c:v>
                </c:pt>
                <c:pt idx="37">
                  <c:v>46008</c:v>
                </c:pt>
                <c:pt idx="38">
                  <c:v>46009</c:v>
                </c:pt>
                <c:pt idx="39">
                  <c:v>46010</c:v>
                </c:pt>
                <c:pt idx="40">
                  <c:v>46011</c:v>
                </c:pt>
                <c:pt idx="41">
                  <c:v>46012</c:v>
                </c:pt>
                <c:pt idx="42">
                  <c:v>46013</c:v>
                </c:pt>
                <c:pt idx="43">
                  <c:v>46014</c:v>
                </c:pt>
                <c:pt idx="44">
                  <c:v>46015</c:v>
                </c:pt>
                <c:pt idx="45">
                  <c:v>46016</c:v>
                </c:pt>
                <c:pt idx="46">
                  <c:v>46017</c:v>
                </c:pt>
                <c:pt idx="47">
                  <c:v>46018</c:v>
                </c:pt>
                <c:pt idx="48">
                  <c:v>46019</c:v>
                </c:pt>
                <c:pt idx="49">
                  <c:v>46020</c:v>
                </c:pt>
                <c:pt idx="50">
                  <c:v>46021</c:v>
                </c:pt>
                <c:pt idx="51">
                  <c:v>46022</c:v>
                </c:pt>
                <c:pt idx="52">
                  <c:v>46023</c:v>
                </c:pt>
                <c:pt idx="53">
                  <c:v>46024</c:v>
                </c:pt>
                <c:pt idx="54">
                  <c:v>46025</c:v>
                </c:pt>
                <c:pt idx="55">
                  <c:v>46026</c:v>
                </c:pt>
                <c:pt idx="56">
                  <c:v>46027</c:v>
                </c:pt>
                <c:pt idx="57">
                  <c:v>46028</c:v>
                </c:pt>
                <c:pt idx="58">
                  <c:v>46029</c:v>
                </c:pt>
                <c:pt idx="59">
                  <c:v>46030</c:v>
                </c:pt>
                <c:pt idx="60">
                  <c:v>46031</c:v>
                </c:pt>
                <c:pt idx="61">
                  <c:v>46032</c:v>
                </c:pt>
                <c:pt idx="62">
                  <c:v>46033</c:v>
                </c:pt>
                <c:pt idx="63">
                  <c:v>46034</c:v>
                </c:pt>
                <c:pt idx="64">
                  <c:v>46035</c:v>
                </c:pt>
                <c:pt idx="65">
                  <c:v>46036</c:v>
                </c:pt>
                <c:pt idx="66">
                  <c:v>46037</c:v>
                </c:pt>
                <c:pt idx="67">
                  <c:v>46038</c:v>
                </c:pt>
                <c:pt idx="68">
                  <c:v>46039</c:v>
                </c:pt>
                <c:pt idx="69">
                  <c:v>46040</c:v>
                </c:pt>
                <c:pt idx="70">
                  <c:v>46041</c:v>
                </c:pt>
                <c:pt idx="71">
                  <c:v>46042</c:v>
                </c:pt>
                <c:pt idx="72">
                  <c:v>46043</c:v>
                </c:pt>
                <c:pt idx="73">
                  <c:v>46044</c:v>
                </c:pt>
                <c:pt idx="74">
                  <c:v>46045</c:v>
                </c:pt>
                <c:pt idx="75">
                  <c:v>46046</c:v>
                </c:pt>
                <c:pt idx="76">
                  <c:v>46047</c:v>
                </c:pt>
                <c:pt idx="77">
                  <c:v>46048</c:v>
                </c:pt>
                <c:pt idx="78">
                  <c:v>46049</c:v>
                </c:pt>
              </c:numCache>
            </c:numRef>
          </c:cat>
          <c:val>
            <c:numRef>
              <c:f>'GS 39 '!$B$3:$B$81</c:f>
              <c:numCache>
                <c:formatCode>General</c:formatCode>
                <c:ptCount val="79"/>
                <c:pt idx="1">
                  <c:v>7.0000000000000007E-2</c:v>
                </c:pt>
                <c:pt idx="2">
                  <c:v>7.0000000000000007E-2</c:v>
                </c:pt>
                <c:pt idx="3">
                  <c:v>7.0000000000000007E-2</c:v>
                </c:pt>
                <c:pt idx="4">
                  <c:v>7.0000000000000007E-2</c:v>
                </c:pt>
                <c:pt idx="5">
                  <c:v>7.0000000000000007E-2</c:v>
                </c:pt>
                <c:pt idx="6">
                  <c:v>7.0000000000000007E-2</c:v>
                </c:pt>
                <c:pt idx="7">
                  <c:v>7.0000000000000007E-2</c:v>
                </c:pt>
                <c:pt idx="8">
                  <c:v>7.0000000000000007E-2</c:v>
                </c:pt>
                <c:pt idx="9">
                  <c:v>7.0000000000000007E-2</c:v>
                </c:pt>
                <c:pt idx="10">
                  <c:v>7.0000000000000007E-2</c:v>
                </c:pt>
                <c:pt idx="11">
                  <c:v>7.0000000000000007E-2</c:v>
                </c:pt>
                <c:pt idx="12">
                  <c:v>7.0000000000000007E-2</c:v>
                </c:pt>
                <c:pt idx="13">
                  <c:v>7.0000000000000007E-2</c:v>
                </c:pt>
                <c:pt idx="14">
                  <c:v>7.0000000000000007E-2</c:v>
                </c:pt>
                <c:pt idx="15">
                  <c:v>7.0000000000000007E-2</c:v>
                </c:pt>
                <c:pt idx="16">
                  <c:v>7.0000000000000007E-2</c:v>
                </c:pt>
                <c:pt idx="17">
                  <c:v>7.0000000000000007E-2</c:v>
                </c:pt>
                <c:pt idx="18">
                  <c:v>7.0000000000000007E-2</c:v>
                </c:pt>
                <c:pt idx="19">
                  <c:v>7.0000000000000007E-2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7.0000000000000007E-2</c:v>
                </c:pt>
                <c:pt idx="27">
                  <c:v>7.0000000000000007E-2</c:v>
                </c:pt>
                <c:pt idx="28">
                  <c:v>7.0000000000000007E-2</c:v>
                </c:pt>
                <c:pt idx="29">
                  <c:v>7.0000000000000007E-2</c:v>
                </c:pt>
                <c:pt idx="30">
                  <c:v>7.0000000000000007E-2</c:v>
                </c:pt>
                <c:pt idx="31">
                  <c:v>7.0000000000000007E-2</c:v>
                </c:pt>
                <c:pt idx="32">
                  <c:v>7.0000000000000007E-2</c:v>
                </c:pt>
                <c:pt idx="33">
                  <c:v>7.0000000000000007E-2</c:v>
                </c:pt>
                <c:pt idx="34">
                  <c:v>7.0000000000000007E-2</c:v>
                </c:pt>
                <c:pt idx="35">
                  <c:v>7.0000000000000007E-2</c:v>
                </c:pt>
                <c:pt idx="36">
                  <c:v>7.0000000000000007E-2</c:v>
                </c:pt>
                <c:pt idx="37">
                  <c:v>7.0000000000000007E-2</c:v>
                </c:pt>
                <c:pt idx="38">
                  <c:v>7.0000000000000007E-2</c:v>
                </c:pt>
                <c:pt idx="39">
                  <c:v>7.0000000000000007E-2</c:v>
                </c:pt>
                <c:pt idx="40">
                  <c:v>7.0000000000000007E-2</c:v>
                </c:pt>
                <c:pt idx="41">
                  <c:v>7.0000000000000007E-2</c:v>
                </c:pt>
                <c:pt idx="42">
                  <c:v>7.0000000000000007E-2</c:v>
                </c:pt>
                <c:pt idx="43">
                  <c:v>7.0000000000000007E-2</c:v>
                </c:pt>
                <c:pt idx="44">
                  <c:v>7.0000000000000007E-2</c:v>
                </c:pt>
                <c:pt idx="45">
                  <c:v>7.0000000000000007E-2</c:v>
                </c:pt>
                <c:pt idx="46">
                  <c:v>7.0000000000000007E-2</c:v>
                </c:pt>
                <c:pt idx="47">
                  <c:v>7.0000000000000007E-2</c:v>
                </c:pt>
                <c:pt idx="48">
                  <c:v>7.0000000000000007E-2</c:v>
                </c:pt>
                <c:pt idx="49">
                  <c:v>7.0000000000000007E-2</c:v>
                </c:pt>
                <c:pt idx="50">
                  <c:v>7.0000000000000007E-2</c:v>
                </c:pt>
                <c:pt idx="51">
                  <c:v>7.0000000000000007E-2</c:v>
                </c:pt>
                <c:pt idx="52">
                  <c:v>7.0000000000000007E-2</c:v>
                </c:pt>
                <c:pt idx="53">
                  <c:v>7.0000000000000007E-2</c:v>
                </c:pt>
                <c:pt idx="54">
                  <c:v>7.0000000000000007E-2</c:v>
                </c:pt>
                <c:pt idx="55">
                  <c:v>7.0000000000000007E-2</c:v>
                </c:pt>
                <c:pt idx="56">
                  <c:v>7.0000000000000007E-2</c:v>
                </c:pt>
                <c:pt idx="57">
                  <c:v>7.0000000000000007E-2</c:v>
                </c:pt>
                <c:pt idx="58">
                  <c:v>7.0000000000000007E-2</c:v>
                </c:pt>
                <c:pt idx="59">
                  <c:v>7.0000000000000007E-2</c:v>
                </c:pt>
                <c:pt idx="60">
                  <c:v>7.0000000000000007E-2</c:v>
                </c:pt>
                <c:pt idx="61">
                  <c:v>7.0000000000000007E-2</c:v>
                </c:pt>
                <c:pt idx="62">
                  <c:v>7.0000000000000007E-2</c:v>
                </c:pt>
                <c:pt idx="63">
                  <c:v>7.0000000000000007E-2</c:v>
                </c:pt>
                <c:pt idx="64">
                  <c:v>7.0000000000000007E-2</c:v>
                </c:pt>
                <c:pt idx="65">
                  <c:v>7.0000000000000007E-2</c:v>
                </c:pt>
                <c:pt idx="66">
                  <c:v>7.0000000000000007E-2</c:v>
                </c:pt>
                <c:pt idx="67">
                  <c:v>7.0000000000000007E-2</c:v>
                </c:pt>
                <c:pt idx="68">
                  <c:v>7.0000000000000007E-2</c:v>
                </c:pt>
                <c:pt idx="69">
                  <c:v>7.0000000000000007E-2</c:v>
                </c:pt>
                <c:pt idx="70">
                  <c:v>7.0000000000000007E-2</c:v>
                </c:pt>
                <c:pt idx="71">
                  <c:v>7.0000000000000007E-2</c:v>
                </c:pt>
                <c:pt idx="72">
                  <c:v>7.0000000000000007E-2</c:v>
                </c:pt>
                <c:pt idx="73">
                  <c:v>7.0000000000000007E-2</c:v>
                </c:pt>
                <c:pt idx="74">
                  <c:v>7.0000000000000007E-2</c:v>
                </c:pt>
                <c:pt idx="75">
                  <c:v>7.0000000000000007E-2</c:v>
                </c:pt>
                <c:pt idx="76">
                  <c:v>7.0000000000000007E-2</c:v>
                </c:pt>
                <c:pt idx="77">
                  <c:v>7.0000000000000007E-2</c:v>
                </c:pt>
                <c:pt idx="78">
                  <c:v>7.0000000000000007E-2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1C-4A77-8A0C-D27A9E8ED792}"/>
            </c:ext>
          </c:extLst>
        </c:ser>
        <c:ser>
          <c:idx val="1"/>
          <c:order val="1"/>
          <c:tx>
            <c:strRef>
              <c:f>'GS 39 '!$C$2</c:f>
              <c:strCache>
                <c:ptCount val="1"/>
                <c:pt idx="0">
                  <c:v>GS 39 Flow (m3/s)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'GS 39 '!$A$3:$A$81</c:f>
              <c:numCache>
                <c:formatCode>[$-809]d\ mmmm\ yyyy;@</c:formatCode>
                <c:ptCount val="79"/>
                <c:pt idx="1">
                  <c:v>45972</c:v>
                </c:pt>
                <c:pt idx="2">
                  <c:v>45973</c:v>
                </c:pt>
                <c:pt idx="3">
                  <c:v>45974</c:v>
                </c:pt>
                <c:pt idx="4">
                  <c:v>45975</c:v>
                </c:pt>
                <c:pt idx="5">
                  <c:v>45976</c:v>
                </c:pt>
                <c:pt idx="6">
                  <c:v>45977</c:v>
                </c:pt>
                <c:pt idx="7">
                  <c:v>45978</c:v>
                </c:pt>
                <c:pt idx="8">
                  <c:v>45979</c:v>
                </c:pt>
                <c:pt idx="9">
                  <c:v>45980</c:v>
                </c:pt>
                <c:pt idx="10">
                  <c:v>45981</c:v>
                </c:pt>
                <c:pt idx="11">
                  <c:v>45982</c:v>
                </c:pt>
                <c:pt idx="12">
                  <c:v>45983</c:v>
                </c:pt>
                <c:pt idx="13">
                  <c:v>45984</c:v>
                </c:pt>
                <c:pt idx="14">
                  <c:v>45985</c:v>
                </c:pt>
                <c:pt idx="15">
                  <c:v>45986</c:v>
                </c:pt>
                <c:pt idx="16">
                  <c:v>45987</c:v>
                </c:pt>
                <c:pt idx="17">
                  <c:v>45988</c:v>
                </c:pt>
                <c:pt idx="18">
                  <c:v>45989</c:v>
                </c:pt>
                <c:pt idx="19">
                  <c:v>45990</c:v>
                </c:pt>
                <c:pt idx="20">
                  <c:v>45991</c:v>
                </c:pt>
                <c:pt idx="21">
                  <c:v>45992</c:v>
                </c:pt>
                <c:pt idx="22">
                  <c:v>45993</c:v>
                </c:pt>
                <c:pt idx="23">
                  <c:v>45994</c:v>
                </c:pt>
                <c:pt idx="24">
                  <c:v>45995</c:v>
                </c:pt>
                <c:pt idx="25">
                  <c:v>45996</c:v>
                </c:pt>
                <c:pt idx="26">
                  <c:v>45997</c:v>
                </c:pt>
                <c:pt idx="27">
                  <c:v>45998</c:v>
                </c:pt>
                <c:pt idx="28">
                  <c:v>45999</c:v>
                </c:pt>
                <c:pt idx="29">
                  <c:v>46000</c:v>
                </c:pt>
                <c:pt idx="30">
                  <c:v>46001</c:v>
                </c:pt>
                <c:pt idx="31">
                  <c:v>46002</c:v>
                </c:pt>
                <c:pt idx="32">
                  <c:v>46003</c:v>
                </c:pt>
                <c:pt idx="33">
                  <c:v>46004</c:v>
                </c:pt>
                <c:pt idx="34">
                  <c:v>46005</c:v>
                </c:pt>
                <c:pt idx="35">
                  <c:v>46006</c:v>
                </c:pt>
                <c:pt idx="36">
                  <c:v>46007</c:v>
                </c:pt>
                <c:pt idx="37">
                  <c:v>46008</c:v>
                </c:pt>
                <c:pt idx="38">
                  <c:v>46009</c:v>
                </c:pt>
                <c:pt idx="39">
                  <c:v>46010</c:v>
                </c:pt>
                <c:pt idx="40">
                  <c:v>46011</c:v>
                </c:pt>
                <c:pt idx="41">
                  <c:v>46012</c:v>
                </c:pt>
                <c:pt idx="42">
                  <c:v>46013</c:v>
                </c:pt>
                <c:pt idx="43">
                  <c:v>46014</c:v>
                </c:pt>
                <c:pt idx="44">
                  <c:v>46015</c:v>
                </c:pt>
                <c:pt idx="45">
                  <c:v>46016</c:v>
                </c:pt>
                <c:pt idx="46">
                  <c:v>46017</c:v>
                </c:pt>
                <c:pt idx="47">
                  <c:v>46018</c:v>
                </c:pt>
                <c:pt idx="48">
                  <c:v>46019</c:v>
                </c:pt>
                <c:pt idx="49">
                  <c:v>46020</c:v>
                </c:pt>
                <c:pt idx="50">
                  <c:v>46021</c:v>
                </c:pt>
                <c:pt idx="51">
                  <c:v>46022</c:v>
                </c:pt>
                <c:pt idx="52">
                  <c:v>46023</c:v>
                </c:pt>
                <c:pt idx="53">
                  <c:v>46024</c:v>
                </c:pt>
                <c:pt idx="54">
                  <c:v>46025</c:v>
                </c:pt>
                <c:pt idx="55">
                  <c:v>46026</c:v>
                </c:pt>
                <c:pt idx="56">
                  <c:v>46027</c:v>
                </c:pt>
                <c:pt idx="57">
                  <c:v>46028</c:v>
                </c:pt>
                <c:pt idx="58">
                  <c:v>46029</c:v>
                </c:pt>
                <c:pt idx="59">
                  <c:v>46030</c:v>
                </c:pt>
                <c:pt idx="60">
                  <c:v>46031</c:v>
                </c:pt>
                <c:pt idx="61">
                  <c:v>46032</c:v>
                </c:pt>
                <c:pt idx="62">
                  <c:v>46033</c:v>
                </c:pt>
                <c:pt idx="63">
                  <c:v>46034</c:v>
                </c:pt>
                <c:pt idx="64">
                  <c:v>46035</c:v>
                </c:pt>
                <c:pt idx="65">
                  <c:v>46036</c:v>
                </c:pt>
                <c:pt idx="66">
                  <c:v>46037</c:v>
                </c:pt>
                <c:pt idx="67">
                  <c:v>46038</c:v>
                </c:pt>
                <c:pt idx="68">
                  <c:v>46039</c:v>
                </c:pt>
                <c:pt idx="69">
                  <c:v>46040</c:v>
                </c:pt>
                <c:pt idx="70">
                  <c:v>46041</c:v>
                </c:pt>
                <c:pt idx="71">
                  <c:v>46042</c:v>
                </c:pt>
                <c:pt idx="72">
                  <c:v>46043</c:v>
                </c:pt>
                <c:pt idx="73">
                  <c:v>46044</c:v>
                </c:pt>
                <c:pt idx="74">
                  <c:v>46045</c:v>
                </c:pt>
                <c:pt idx="75">
                  <c:v>46046</c:v>
                </c:pt>
                <c:pt idx="76">
                  <c:v>46047</c:v>
                </c:pt>
                <c:pt idx="77">
                  <c:v>46048</c:v>
                </c:pt>
                <c:pt idx="78">
                  <c:v>46049</c:v>
                </c:pt>
              </c:numCache>
            </c:numRef>
          </c:cat>
          <c:val>
            <c:numRef>
              <c:f>'GS 39 '!$C$3:$C$81</c:f>
              <c:numCache>
                <c:formatCode>0.000_ </c:formatCode>
                <c:ptCount val="79"/>
                <c:pt idx="1">
                  <c:v>0.28753317121132499</c:v>
                </c:pt>
                <c:pt idx="2">
                  <c:v>0.264814641651129</c:v>
                </c:pt>
                <c:pt idx="3">
                  <c:v>0.242676834815517</c:v>
                </c:pt>
                <c:pt idx="4">
                  <c:v>0.31081411432156503</c:v>
                </c:pt>
                <c:pt idx="5">
                  <c:v>1.6176542131284899</c:v>
                </c:pt>
                <c:pt idx="6" formatCode="0.000;[Red]0.000">
                  <c:v>6.4855622549533001</c:v>
                </c:pt>
                <c:pt idx="7" formatCode="0.000;[Red]0.000">
                  <c:v>6.4855622549533001</c:v>
                </c:pt>
                <c:pt idx="8" formatCode="0.000;[Red]0.000">
                  <c:v>4.7032407903374498</c:v>
                </c:pt>
                <c:pt idx="9" formatCode="0.000;[Red]0.000">
                  <c:v>4.85793141915339</c:v>
                </c:pt>
                <c:pt idx="10" formatCode="0.000;[Red]0.000">
                  <c:v>3.8081473008323301</c:v>
                </c:pt>
                <c:pt idx="11" formatCode="0.000;[Red]0.000">
                  <c:v>4.7032407903374498</c:v>
                </c:pt>
                <c:pt idx="12" formatCode="0.000;[Red]0.000">
                  <c:v>4.7032407903374498</c:v>
                </c:pt>
                <c:pt idx="13" formatCode="0.000;[Red]0.000">
                  <c:v>3.3828546926563701</c:v>
                </c:pt>
                <c:pt idx="14" formatCode="0.000;[Red]0.000">
                  <c:v>4.7032407903374498</c:v>
                </c:pt>
                <c:pt idx="15" formatCode="0.000;[Red]0.000">
                  <c:v>5.33104982366818</c:v>
                </c:pt>
                <c:pt idx="16" formatCode="0.000;[Red]0.000">
                  <c:v>4.1000744908299502</c:v>
                </c:pt>
                <c:pt idx="17" formatCode="0.000;[Red]0.000">
                  <c:v>3.52290523304654</c:v>
                </c:pt>
                <c:pt idx="18" formatCode="0.000;[Red]0.000">
                  <c:v>4.7839999999999998</c:v>
                </c:pt>
                <c:pt idx="19" formatCode="0.000;[Red]0.000">
                  <c:v>6.1749999999999998</c:v>
                </c:pt>
                <c:pt idx="20" formatCode="0.000;[Red]0.000">
                  <c:v>3.794</c:v>
                </c:pt>
                <c:pt idx="21" formatCode="0.000;[Red]0.000">
                  <c:v>2.859</c:v>
                </c:pt>
                <c:pt idx="22" formatCode="0.000;[Red]0.000">
                  <c:v>2.8220000000000001</c:v>
                </c:pt>
                <c:pt idx="23" formatCode="0.000;[Red]0.000">
                  <c:v>2.98</c:v>
                </c:pt>
                <c:pt idx="24" formatCode="0.000;[Red]0.000">
                  <c:v>2.8439999999999999</c:v>
                </c:pt>
                <c:pt idx="25" formatCode="0.00;[Red]0.00">
                  <c:v>0.85</c:v>
                </c:pt>
                <c:pt idx="26" formatCode="0.00;[Red]0.00">
                  <c:v>0.746</c:v>
                </c:pt>
                <c:pt idx="27" formatCode="0.00;[Red]0.00">
                  <c:v>0.91200000000000003</c:v>
                </c:pt>
                <c:pt idx="28" formatCode="0.00;[Red]0.00">
                  <c:v>0.88600000000000001</c:v>
                </c:pt>
                <c:pt idx="29" formatCode="0.00;[Red]0.00">
                  <c:v>0.73599999999999999</c:v>
                </c:pt>
                <c:pt idx="30" formatCode="0.00;[Red]0.00">
                  <c:v>0.72699999999999998</c:v>
                </c:pt>
                <c:pt idx="31" formatCode="0.00;[Red]0.00">
                  <c:v>0.65</c:v>
                </c:pt>
                <c:pt idx="32" formatCode="0.00;[Red]0.00">
                  <c:v>0.60799999999999998</c:v>
                </c:pt>
                <c:pt idx="33" formatCode="0.00;[Red]0.00">
                  <c:v>0.58499999999999996</c:v>
                </c:pt>
                <c:pt idx="34" formatCode="0.00;[Red]0.00">
                  <c:v>0.59299999999999997</c:v>
                </c:pt>
                <c:pt idx="35" formatCode="0.00;[Red]0.00">
                  <c:v>0.60199999999999998</c:v>
                </c:pt>
                <c:pt idx="36" formatCode="0.00;[Red]0.00">
                  <c:v>0.57299999999999995</c:v>
                </c:pt>
                <c:pt idx="37" formatCode="0.00;[Red]0.00">
                  <c:v>0.55200000000000005</c:v>
                </c:pt>
                <c:pt idx="38" formatCode="0.00;[Red]0.00">
                  <c:v>1.002</c:v>
                </c:pt>
                <c:pt idx="39" formatCode="0.00;[Red]0.00">
                  <c:v>0.88300000000000001</c:v>
                </c:pt>
                <c:pt idx="40" formatCode="0.00;[Red]0.00">
                  <c:v>0.69899999999999995</c:v>
                </c:pt>
                <c:pt idx="41" formatCode="0.00;[Red]0.00">
                  <c:v>0.59099999999999997</c:v>
                </c:pt>
                <c:pt idx="42" formatCode="0.00;[Red]0.00">
                  <c:v>0.57999999999999996</c:v>
                </c:pt>
                <c:pt idx="43" formatCode="0.00;[Red]0.00">
                  <c:v>0.58599999999999997</c:v>
                </c:pt>
                <c:pt idx="44" formatCode="0.00;[Red]0.00">
                  <c:v>0.57699999999999996</c:v>
                </c:pt>
                <c:pt idx="45" formatCode="0.00;[Red]0.00">
                  <c:v>0.56499999999999995</c:v>
                </c:pt>
                <c:pt idx="46" formatCode="0.00;[Red]0.00">
                  <c:v>0.95</c:v>
                </c:pt>
                <c:pt idx="47" formatCode="0.00;[Red]0.00">
                  <c:v>2.1360000000000001</c:v>
                </c:pt>
                <c:pt idx="48" formatCode="0.00;[Red]0.00">
                  <c:v>11.124000000000001</c:v>
                </c:pt>
                <c:pt idx="49" formatCode="0.00;[Red]0.00">
                  <c:v>7.7210000000000001</c:v>
                </c:pt>
                <c:pt idx="50" formatCode="0.00;[Red]0.00">
                  <c:v>2.778</c:v>
                </c:pt>
                <c:pt idx="51" formatCode="0.00;[Red]0.00">
                  <c:v>1.577</c:v>
                </c:pt>
                <c:pt idx="52" formatCode="0.00;[Red]0.00">
                  <c:v>7.585</c:v>
                </c:pt>
                <c:pt idx="53" formatCode="0.00;[Red]0.00">
                  <c:v>7.7930000000000001</c:v>
                </c:pt>
                <c:pt idx="54" formatCode="0.00;[Red]0.00">
                  <c:v>3.0009999999999999</c:v>
                </c:pt>
                <c:pt idx="55" formatCode="0.00;[Red]0.00">
                  <c:v>1.869</c:v>
                </c:pt>
                <c:pt idx="56" formatCode="0.00;[Red]0.00">
                  <c:v>1.488</c:v>
                </c:pt>
                <c:pt idx="57" formatCode="0.00;[Red]0.00">
                  <c:v>2.2189999999999999</c:v>
                </c:pt>
                <c:pt idx="58" formatCode="0.00;[Red]0.00">
                  <c:v>1.446</c:v>
                </c:pt>
                <c:pt idx="59" formatCode="0.00;[Red]0.00">
                  <c:v>1.238</c:v>
                </c:pt>
                <c:pt idx="60" formatCode="0.00;[Red]0.00">
                  <c:v>1.071</c:v>
                </c:pt>
                <c:pt idx="61" formatCode="0.00;[Red]0.00">
                  <c:v>0.998</c:v>
                </c:pt>
                <c:pt idx="62" formatCode="0.00;[Red]0.00">
                  <c:v>1.427</c:v>
                </c:pt>
                <c:pt idx="63" formatCode="0.00;[Red]0.00">
                  <c:v>2.036</c:v>
                </c:pt>
                <c:pt idx="64" formatCode="0.00;[Red]0.00">
                  <c:v>1.512</c:v>
                </c:pt>
                <c:pt idx="65" formatCode="0.00;[Red]0.00">
                  <c:v>1.218</c:v>
                </c:pt>
                <c:pt idx="66" formatCode="0.00;[Red]0.00">
                  <c:v>1.0960000000000001</c:v>
                </c:pt>
                <c:pt idx="67" formatCode="0.00;[Red]0.00">
                  <c:v>2.8</c:v>
                </c:pt>
                <c:pt idx="68" formatCode="0.00;[Red]0.00">
                  <c:v>2.552</c:v>
                </c:pt>
                <c:pt idx="69" formatCode="0.00;[Red]0.00">
                  <c:v>2.262</c:v>
                </c:pt>
                <c:pt idx="70" formatCode="0.00;[Red]0.00">
                  <c:v>1.9039999999999999</c:v>
                </c:pt>
                <c:pt idx="71" formatCode="0.00;[Red]0.00">
                  <c:v>1.5429999999999999</c:v>
                </c:pt>
                <c:pt idx="72" formatCode="0.00;[Red]0.00">
                  <c:v>1.3120000000000001</c:v>
                </c:pt>
                <c:pt idx="73" formatCode="0.00;[Red]0.00">
                  <c:v>1.1850000000000001</c:v>
                </c:pt>
                <c:pt idx="74" formatCode="0.00;[Red]0.00">
                  <c:v>1.0609999999999999</c:v>
                </c:pt>
                <c:pt idx="75" formatCode="0.00;[Red]0.00">
                  <c:v>0.97099999999999997</c:v>
                </c:pt>
                <c:pt idx="76" formatCode="0.00;[Red]0.00">
                  <c:v>0.91700000000000004</c:v>
                </c:pt>
                <c:pt idx="77" formatCode="0.00;[Red]0.00">
                  <c:v>0.85499999999999998</c:v>
                </c:pt>
                <c:pt idx="78" formatCode="0.00;[Red]0.00">
                  <c:v>0.80700000000000005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1C-4A77-8A0C-D27A9E8ED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8713879"/>
        <c:axId val="329555393"/>
      </c:lineChart>
      <c:catAx>
        <c:axId val="18871387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9555393"/>
        <c:crosses val="autoZero"/>
        <c:auto val="0"/>
        <c:lblAlgn val="ctr"/>
        <c:lblOffset val="100"/>
        <c:noMultiLvlLbl val="0"/>
      </c:catAx>
      <c:valAx>
        <c:axId val="3295553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71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92d13cc-e525-4dd6-80db-0aaeca34f4c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108585</xdr:colOff>
      <xdr:row>0</xdr:row>
      <xdr:rowOff>185420</xdr:rowOff>
    </xdr:from>
    <xdr:to>
      <xdr:col>23</xdr:col>
      <xdr:colOff>488315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Welile Sangweni" id="{8570E0E9-9E53-407B-AE4E-3FD24CB8BEAE}" userId="S::welile.s@jointrbas.org::a5806aa3-6343-4bae-a7d4-ab8b4c0313ec" providerId="AD"/>
</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" dT="2026-05-20T19:33:20.83" personId="{8570E0E9-9E53-407B-AE4E-3FD24CB8BEAE}" id="{45F84AE2-1CD8-41B9-A0C1-CAC76559C1B7}">
    <text>Telemetry mulfunction</text>
  </threadedComment>
  <threadedComment ref="C20" dT="2026-05-20T19:33:39.83" personId="{8570E0E9-9E53-407B-AE4E-3FD24CB8BEAE}" id="{29F74D9F-A371-4128-945C-AA6255D287F7}">
    <text>Telemetry mulfunction</text>
  </threadedComment>
  <threadedComment ref="C56" dT="2026-05-20T19:34:26.31" personId="{8570E0E9-9E53-407B-AE4E-3FD24CB8BEAE}" id="{83031351-C4E6-46F7-94A2-A5730BC87127}">
    <text>Telemetry mulfunction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74"/>
  <sheetViews>
    <sheetView topLeftCell="A172" workbookViewId="0">
      <selection activeCell="E172" sqref="E172"/>
    </sheetView>
  </sheetViews>
  <sheetFormatPr defaultColWidth="9.81640625" defaultRowHeight="14.5"/>
  <cols>
    <col min="1" max="1" width="10.54296875"/>
    <col min="2" max="2" width="20.08984375" customWidth="1"/>
    <col min="3" max="3" width="16.1796875" customWidth="1"/>
  </cols>
  <sheetData>
    <row r="2" spans="1:3" ht="25" customHeight="1">
      <c r="A2" s="11" t="s">
        <v>0</v>
      </c>
      <c r="B2" s="11" t="s">
        <v>1</v>
      </c>
      <c r="C2" s="11" t="s">
        <v>3</v>
      </c>
    </row>
    <row r="3" spans="1:3">
      <c r="A3" s="12"/>
      <c r="B3" s="12"/>
      <c r="C3" s="12"/>
    </row>
    <row r="4" spans="1:3">
      <c r="A4" s="13">
        <v>45992</v>
      </c>
      <c r="B4" s="12">
        <v>0.62</v>
      </c>
      <c r="C4" s="12">
        <v>0.876</v>
      </c>
    </row>
    <row r="5" spans="1:3">
      <c r="A5" s="13">
        <v>45993</v>
      </c>
      <c r="B5" s="12">
        <v>0.62</v>
      </c>
      <c r="C5" s="12">
        <v>0.92100000000000004</v>
      </c>
    </row>
    <row r="6" spans="1:3">
      <c r="A6" s="13">
        <v>45994</v>
      </c>
      <c r="B6" s="12">
        <v>0.62</v>
      </c>
      <c r="C6" s="12">
        <v>0.94599999999999995</v>
      </c>
    </row>
    <row r="7" spans="1:3">
      <c r="A7" s="13">
        <v>45995</v>
      </c>
      <c r="B7" s="12">
        <v>0.62</v>
      </c>
      <c r="C7" s="12">
        <v>0.97399999999999998</v>
      </c>
    </row>
    <row r="8" spans="1:3">
      <c r="A8" s="13">
        <v>45996</v>
      </c>
      <c r="B8" s="12">
        <v>0.62</v>
      </c>
      <c r="C8" s="12">
        <v>1.0329999999999999</v>
      </c>
    </row>
    <row r="9" spans="1:3">
      <c r="A9" s="13">
        <v>45997</v>
      </c>
      <c r="B9" s="12">
        <v>0.62</v>
      </c>
      <c r="C9" s="12">
        <v>0.91100000000000003</v>
      </c>
    </row>
    <row r="10" spans="1:3">
      <c r="A10" s="13">
        <v>45998</v>
      </c>
      <c r="B10" s="12">
        <v>0.62</v>
      </c>
      <c r="C10" s="12">
        <v>0.874</v>
      </c>
    </row>
    <row r="11" spans="1:3">
      <c r="A11" s="13">
        <v>45999</v>
      </c>
      <c r="B11" s="12">
        <v>0.62</v>
      </c>
      <c r="C11" s="12">
        <v>1.026</v>
      </c>
    </row>
    <row r="12" spans="1:3">
      <c r="A12" s="13">
        <v>46000</v>
      </c>
      <c r="B12" s="12">
        <v>0.62</v>
      </c>
      <c r="C12" s="12">
        <v>1.137</v>
      </c>
    </row>
    <row r="13" spans="1:3">
      <c r="A13" s="13">
        <v>46001</v>
      </c>
      <c r="B13" s="12">
        <v>0.62</v>
      </c>
      <c r="C13" s="12">
        <v>1.1240000000000001</v>
      </c>
    </row>
    <row r="14" spans="1:3">
      <c r="A14" s="13">
        <v>46002</v>
      </c>
      <c r="B14" s="12">
        <v>0.62</v>
      </c>
      <c r="C14" s="12">
        <v>1.0129999999999999</v>
      </c>
    </row>
    <row r="15" spans="1:3">
      <c r="A15" s="13">
        <v>46003</v>
      </c>
      <c r="B15" s="12">
        <v>0.62</v>
      </c>
      <c r="C15" s="12">
        <v>0.92800000000000005</v>
      </c>
    </row>
    <row r="16" spans="1:3">
      <c r="A16" s="13">
        <v>46004</v>
      </c>
      <c r="B16" s="12">
        <v>0.62</v>
      </c>
      <c r="C16" s="14">
        <v>0.87</v>
      </c>
    </row>
    <row r="17" spans="1:3">
      <c r="A17" s="13">
        <v>46005</v>
      </c>
      <c r="B17" s="12">
        <v>0.62</v>
      </c>
      <c r="C17" s="12">
        <v>0.86599999999999999</v>
      </c>
    </row>
    <row r="18" spans="1:3">
      <c r="A18" s="13">
        <v>46006</v>
      </c>
      <c r="B18" s="12">
        <v>0.62</v>
      </c>
      <c r="C18" s="12">
        <v>0.95299999999999996</v>
      </c>
    </row>
    <row r="19" spans="1:3">
      <c r="A19" s="13">
        <v>46007</v>
      </c>
      <c r="B19" s="12">
        <v>0.62</v>
      </c>
      <c r="C19" s="12">
        <v>0.95499999999999996</v>
      </c>
    </row>
    <row r="20" spans="1:3">
      <c r="A20" s="13">
        <v>46008</v>
      </c>
      <c r="B20" s="12">
        <v>0.62</v>
      </c>
      <c r="C20" s="12">
        <v>0.96499999999999997</v>
      </c>
    </row>
    <row r="21" spans="1:3">
      <c r="A21" s="13">
        <v>46009</v>
      </c>
      <c r="B21" s="12">
        <v>0.62</v>
      </c>
      <c r="C21" s="12">
        <v>2.2320000000000002</v>
      </c>
    </row>
    <row r="22" spans="1:3">
      <c r="A22" s="13">
        <v>46010</v>
      </c>
      <c r="B22" s="12">
        <v>0.62</v>
      </c>
      <c r="C22" s="12">
        <v>2.9159999999999999</v>
      </c>
    </row>
    <row r="23" spans="1:3">
      <c r="A23" s="13">
        <v>46011</v>
      </c>
      <c r="B23" s="12">
        <v>0.62</v>
      </c>
      <c r="C23" s="12">
        <v>2.8450000000000002</v>
      </c>
    </row>
    <row r="24" spans="1:3">
      <c r="A24" s="13">
        <v>46012</v>
      </c>
      <c r="B24" s="12">
        <v>0.62</v>
      </c>
      <c r="C24" s="12">
        <v>2.7770000000000001</v>
      </c>
    </row>
    <row r="25" spans="1:3">
      <c r="A25" s="13">
        <v>46013</v>
      </c>
      <c r="B25" s="12">
        <v>0.62</v>
      </c>
      <c r="C25" s="12">
        <v>5.609</v>
      </c>
    </row>
    <row r="26" spans="1:3">
      <c r="A26" s="13">
        <v>46014</v>
      </c>
      <c r="B26" s="12">
        <v>0.62</v>
      </c>
      <c r="C26" s="12">
        <v>5.6580000000000004</v>
      </c>
    </row>
    <row r="27" spans="1:3">
      <c r="A27" s="13">
        <v>46015</v>
      </c>
      <c r="B27" s="12">
        <v>0.62</v>
      </c>
      <c r="C27" s="12">
        <v>5.3010000000000002</v>
      </c>
    </row>
    <row r="28" spans="1:3">
      <c r="A28" s="13">
        <v>46016</v>
      </c>
      <c r="B28" s="12">
        <v>0.62</v>
      </c>
      <c r="C28" s="12">
        <v>3.347</v>
      </c>
    </row>
    <row r="29" spans="1:3">
      <c r="A29" s="13">
        <v>46017</v>
      </c>
      <c r="B29" s="12">
        <v>0.62</v>
      </c>
      <c r="C29" s="14">
        <v>2.36</v>
      </c>
    </row>
    <row r="30" spans="1:3">
      <c r="A30" s="13">
        <v>46018</v>
      </c>
      <c r="B30" s="12">
        <v>0.62</v>
      </c>
      <c r="C30" s="12">
        <v>2.1549999999999998</v>
      </c>
    </row>
    <row r="31" spans="1:3">
      <c r="A31" s="13">
        <v>46019</v>
      </c>
      <c r="B31" s="12">
        <v>0.62</v>
      </c>
      <c r="C31" s="12">
        <v>2.0710000000000002</v>
      </c>
    </row>
    <row r="32" spans="1:3">
      <c r="A32" s="13">
        <v>46020</v>
      </c>
      <c r="B32" s="12">
        <v>0.62</v>
      </c>
      <c r="C32" s="12">
        <v>2.1819999999999999</v>
      </c>
    </row>
    <row r="33" spans="1:3">
      <c r="A33" s="13">
        <v>46021</v>
      </c>
      <c r="B33" s="12">
        <v>0.62</v>
      </c>
      <c r="C33" s="12">
        <v>2.6549999999999998</v>
      </c>
    </row>
    <row r="34" spans="1:3">
      <c r="A34" s="13">
        <v>46022</v>
      </c>
      <c r="B34" s="12">
        <v>0.62</v>
      </c>
      <c r="C34" s="12">
        <v>2.7629999999999999</v>
      </c>
    </row>
    <row r="35" spans="1:3">
      <c r="A35" s="13">
        <v>46023</v>
      </c>
      <c r="B35" s="12">
        <v>0.62</v>
      </c>
      <c r="C35" s="12">
        <v>2.7549999999999999</v>
      </c>
    </row>
    <row r="36" spans="1:3">
      <c r="A36" s="13">
        <v>46024</v>
      </c>
      <c r="B36" s="12">
        <v>0.62</v>
      </c>
      <c r="C36" s="12">
        <v>3.5720000000000001</v>
      </c>
    </row>
    <row r="37" spans="1:3">
      <c r="A37" s="13">
        <v>46025</v>
      </c>
      <c r="B37" s="12">
        <v>0.62</v>
      </c>
      <c r="C37" s="12">
        <v>5.3019999999999996</v>
      </c>
    </row>
    <row r="38" spans="1:3">
      <c r="A38" s="13">
        <v>46026</v>
      </c>
      <c r="B38" s="12">
        <v>0.62</v>
      </c>
      <c r="C38" s="12">
        <v>5.2949999999999999</v>
      </c>
    </row>
    <row r="39" spans="1:3">
      <c r="A39" s="13">
        <v>46027</v>
      </c>
      <c r="B39" s="12">
        <v>0.62</v>
      </c>
      <c r="C39" s="12">
        <v>5.1989999999999998</v>
      </c>
    </row>
    <row r="40" spans="1:3">
      <c r="A40" s="13">
        <v>46028</v>
      </c>
      <c r="B40" s="12">
        <v>0.62</v>
      </c>
      <c r="C40" s="14">
        <v>5.28</v>
      </c>
    </row>
    <row r="41" spans="1:3">
      <c r="A41" s="13">
        <v>46029</v>
      </c>
      <c r="B41" s="12">
        <v>0.62</v>
      </c>
      <c r="C41" s="12">
        <v>5.2720000000000002</v>
      </c>
    </row>
    <row r="42" spans="1:3">
      <c r="A42" s="13">
        <v>46030</v>
      </c>
      <c r="B42" s="12">
        <v>0.62</v>
      </c>
      <c r="C42" s="12">
        <v>4.2210000000000001</v>
      </c>
    </row>
    <row r="43" spans="1:3">
      <c r="A43" s="13">
        <v>46031</v>
      </c>
      <c r="B43" s="12">
        <v>0.62</v>
      </c>
      <c r="C43" s="14">
        <v>2.17</v>
      </c>
    </row>
    <row r="44" spans="1:3">
      <c r="A44" s="13">
        <v>46032</v>
      </c>
      <c r="B44" s="12">
        <v>0.62</v>
      </c>
      <c r="C44" s="12">
        <v>2.032</v>
      </c>
    </row>
    <row r="45" spans="1:3">
      <c r="A45" s="13">
        <v>46033</v>
      </c>
      <c r="B45" s="12">
        <v>0.62</v>
      </c>
      <c r="C45" s="12">
        <v>4.3159999999999998</v>
      </c>
    </row>
    <row r="46" spans="1:3">
      <c r="A46" s="13">
        <v>46034</v>
      </c>
      <c r="B46" s="12">
        <v>0.62</v>
      </c>
      <c r="C46" s="14">
        <v>8.42</v>
      </c>
    </row>
    <row r="47" spans="1:3">
      <c r="A47" s="13">
        <v>46035</v>
      </c>
      <c r="B47" s="12">
        <v>0.62</v>
      </c>
      <c r="C47" s="12">
        <v>9.2789999999999999</v>
      </c>
    </row>
    <row r="48" spans="1:3">
      <c r="A48" s="13">
        <v>46036</v>
      </c>
      <c r="B48" s="12">
        <v>0.62</v>
      </c>
      <c r="C48" s="12">
        <v>9.1370000000000005</v>
      </c>
    </row>
    <row r="49" spans="1:3">
      <c r="A49" s="13">
        <v>46037</v>
      </c>
      <c r="B49" s="12">
        <v>0.62</v>
      </c>
      <c r="C49" s="12">
        <v>8.6549999999999994</v>
      </c>
    </row>
    <row r="50" spans="1:3">
      <c r="A50" s="13">
        <v>46038</v>
      </c>
      <c r="B50" s="12">
        <v>0.62</v>
      </c>
      <c r="C50" s="12">
        <v>9.3729999999999993</v>
      </c>
    </row>
    <row r="51" spans="1:3">
      <c r="A51" s="13">
        <v>46039</v>
      </c>
      <c r="B51" s="12">
        <v>0.62</v>
      </c>
      <c r="C51" s="12">
        <v>9.3729999999999993</v>
      </c>
    </row>
    <row r="52" spans="1:3">
      <c r="A52" s="13">
        <v>46040</v>
      </c>
      <c r="B52" s="12">
        <v>0.62</v>
      </c>
      <c r="C52" s="12">
        <v>9.3729999999999993</v>
      </c>
    </row>
    <row r="53" spans="1:3">
      <c r="A53" s="13">
        <v>46041</v>
      </c>
      <c r="B53" s="12">
        <v>0.62</v>
      </c>
      <c r="C53" s="12">
        <v>9.3780000000000001</v>
      </c>
    </row>
    <row r="54" spans="1:3">
      <c r="A54" s="13">
        <v>46042</v>
      </c>
      <c r="B54" s="12">
        <v>0.62</v>
      </c>
      <c r="C54" s="12">
        <v>9.3879999999999999</v>
      </c>
    </row>
    <row r="55" spans="1:3">
      <c r="A55" s="13">
        <v>46043</v>
      </c>
      <c r="B55" s="12">
        <v>0.62</v>
      </c>
      <c r="C55" s="12">
        <v>9.3979999999999997</v>
      </c>
    </row>
    <row r="56" spans="1:3">
      <c r="A56" s="13">
        <v>46044</v>
      </c>
      <c r="B56" s="12">
        <v>0.62</v>
      </c>
      <c r="C56" s="12">
        <v>9.3930000000000007</v>
      </c>
    </row>
    <row r="57" spans="1:3">
      <c r="A57" s="13">
        <v>46045</v>
      </c>
      <c r="B57" s="12">
        <v>0.62</v>
      </c>
      <c r="C57" s="14">
        <v>9.39</v>
      </c>
    </row>
    <row r="58" spans="1:3">
      <c r="A58" s="13">
        <v>46046</v>
      </c>
      <c r="B58" s="12">
        <v>0.62</v>
      </c>
      <c r="C58" s="12">
        <v>9.3889999999999993</v>
      </c>
    </row>
    <row r="59" spans="1:3">
      <c r="A59" s="13">
        <v>46047</v>
      </c>
      <c r="B59" s="12">
        <v>0.62</v>
      </c>
      <c r="C59" s="12">
        <v>9.3889999999999993</v>
      </c>
    </row>
    <row r="60" spans="1:3">
      <c r="A60" s="13">
        <v>46048</v>
      </c>
      <c r="B60" s="12">
        <v>0.62</v>
      </c>
      <c r="C60" s="12">
        <v>9.3879999999999999</v>
      </c>
    </row>
    <row r="61" spans="1:3">
      <c r="A61" s="13">
        <v>46049</v>
      </c>
      <c r="B61" s="12">
        <v>0.62</v>
      </c>
      <c r="C61" s="12">
        <v>9.3849999999999998</v>
      </c>
    </row>
    <row r="62" spans="1:3">
      <c r="A62" s="13">
        <v>46050</v>
      </c>
      <c r="B62" s="12">
        <v>0.62</v>
      </c>
      <c r="C62" s="12">
        <v>9.3849999999999998</v>
      </c>
    </row>
    <row r="63" spans="1:3">
      <c r="A63" s="13">
        <v>46051</v>
      </c>
      <c r="B63" s="12">
        <v>0.62</v>
      </c>
      <c r="C63" s="14">
        <v>9.3800000000000008</v>
      </c>
    </row>
    <row r="64" spans="1:3">
      <c r="A64" s="13">
        <v>46052</v>
      </c>
      <c r="B64" s="12">
        <v>0.62</v>
      </c>
      <c r="C64" s="12">
        <v>9.3789999999999996</v>
      </c>
    </row>
    <row r="65" spans="1:3">
      <c r="A65" s="13">
        <v>46053</v>
      </c>
      <c r="B65" s="12">
        <v>0.62</v>
      </c>
      <c r="C65" s="12">
        <v>9.3789999999999996</v>
      </c>
    </row>
    <row r="66" spans="1:3">
      <c r="A66" s="13">
        <v>46054</v>
      </c>
      <c r="B66" s="12">
        <v>0.62</v>
      </c>
      <c r="C66" s="12">
        <v>9.3780000000000001</v>
      </c>
    </row>
    <row r="67" spans="1:3">
      <c r="A67" s="13">
        <v>46055</v>
      </c>
      <c r="B67" s="12">
        <v>0.62</v>
      </c>
      <c r="C67" s="12">
        <v>9.3759999999999994</v>
      </c>
    </row>
    <row r="68" spans="1:3">
      <c r="A68" s="13">
        <v>46056</v>
      </c>
      <c r="B68" s="12">
        <v>0.62</v>
      </c>
      <c r="C68" s="12">
        <v>9.375</v>
      </c>
    </row>
    <row r="69" spans="1:3">
      <c r="A69" s="13">
        <v>46057</v>
      </c>
      <c r="B69" s="12">
        <v>0.62</v>
      </c>
      <c r="C69" s="12">
        <v>9.3740000000000006</v>
      </c>
    </row>
    <row r="70" spans="1:3">
      <c r="A70" s="13">
        <v>46058</v>
      </c>
      <c r="B70" s="12">
        <v>0.62</v>
      </c>
      <c r="C70" s="12">
        <v>9.3740000000000006</v>
      </c>
    </row>
    <row r="71" spans="1:3">
      <c r="A71" s="13">
        <v>46059</v>
      </c>
      <c r="B71" s="12">
        <v>0.62</v>
      </c>
      <c r="C71" s="12">
        <v>9.3729999999999993</v>
      </c>
    </row>
    <row r="72" spans="1:3">
      <c r="A72" s="13">
        <v>46060</v>
      </c>
      <c r="B72" s="12">
        <v>0.62</v>
      </c>
      <c r="C72" s="12">
        <v>9.3659999999999997</v>
      </c>
    </row>
    <row r="73" spans="1:3">
      <c r="A73" s="13">
        <v>46061</v>
      </c>
      <c r="B73" s="12">
        <v>0.62</v>
      </c>
      <c r="C73" s="12">
        <v>9.1790000000000003</v>
      </c>
    </row>
    <row r="74" spans="1:3">
      <c r="A74" s="13">
        <v>46062</v>
      </c>
      <c r="B74" s="12">
        <v>0.62</v>
      </c>
      <c r="C74" s="12">
        <v>8.5939999999999994</v>
      </c>
    </row>
    <row r="75" spans="1:3">
      <c r="A75" s="13">
        <v>46063</v>
      </c>
      <c r="B75" s="12">
        <v>0.62</v>
      </c>
      <c r="C75" s="12">
        <v>8.5109999999999992</v>
      </c>
    </row>
    <row r="76" spans="1:3">
      <c r="A76" s="13">
        <v>46064</v>
      </c>
      <c r="B76" s="12">
        <v>0.62</v>
      </c>
      <c r="C76" s="12">
        <v>8.4760000000000009</v>
      </c>
    </row>
    <row r="77" spans="1:3">
      <c r="A77" s="13">
        <v>46065</v>
      </c>
      <c r="B77" s="12">
        <v>0.62</v>
      </c>
      <c r="C77" s="14">
        <v>8.4700000000000006</v>
      </c>
    </row>
    <row r="78" spans="1:3">
      <c r="A78" s="13">
        <v>46066</v>
      </c>
      <c r="B78" s="12">
        <v>0.62</v>
      </c>
      <c r="C78" s="12">
        <v>8.4610000000000003</v>
      </c>
    </row>
    <row r="79" spans="1:3">
      <c r="A79" s="13">
        <v>46067</v>
      </c>
      <c r="B79" s="12">
        <v>0.62</v>
      </c>
      <c r="C79" s="12">
        <v>8.4610000000000003</v>
      </c>
    </row>
    <row r="80" spans="1:3">
      <c r="A80" s="13">
        <v>46068</v>
      </c>
      <c r="B80" s="12">
        <v>0.62</v>
      </c>
      <c r="C80" s="12">
        <v>8.4610000000000003</v>
      </c>
    </row>
    <row r="81" spans="1:3">
      <c r="A81" s="13">
        <v>46069</v>
      </c>
      <c r="B81" s="12">
        <v>0.62</v>
      </c>
      <c r="C81" s="12">
        <v>7.3760000000000003</v>
      </c>
    </row>
    <row r="82" spans="1:3">
      <c r="A82" s="13">
        <v>46070</v>
      </c>
      <c r="B82" s="12">
        <v>0.62</v>
      </c>
      <c r="C82" s="14">
        <v>6.89</v>
      </c>
    </row>
    <row r="83" spans="1:3">
      <c r="A83" s="13">
        <v>46071</v>
      </c>
      <c r="B83" s="12">
        <v>0.62</v>
      </c>
      <c r="C83" s="12">
        <v>6.7709999999999999</v>
      </c>
    </row>
    <row r="84" spans="1:3">
      <c r="A84" s="13">
        <v>46072</v>
      </c>
      <c r="B84" s="12">
        <v>0.62</v>
      </c>
      <c r="C84" s="12">
        <v>6.6929999999999996</v>
      </c>
    </row>
    <row r="85" spans="1:3">
      <c r="A85" s="13">
        <v>46073</v>
      </c>
      <c r="B85" s="12">
        <v>0.62</v>
      </c>
      <c r="C85" s="12">
        <v>6.6920000000000002</v>
      </c>
    </row>
    <row r="86" spans="1:3">
      <c r="A86" s="13">
        <v>46074</v>
      </c>
      <c r="B86" s="12">
        <v>0.62</v>
      </c>
      <c r="C86" s="12">
        <v>6.5220000000000002</v>
      </c>
    </row>
    <row r="87" spans="1:3">
      <c r="A87" s="13">
        <v>46075</v>
      </c>
      <c r="B87" s="12">
        <v>0.62</v>
      </c>
      <c r="C87" s="12">
        <v>6.4290000000000003</v>
      </c>
    </row>
    <row r="88" spans="1:3">
      <c r="A88" s="13">
        <v>46076</v>
      </c>
      <c r="B88" s="12">
        <v>0.62</v>
      </c>
      <c r="C88" s="12">
        <v>6.3840000000000003</v>
      </c>
    </row>
    <row r="89" spans="1:3">
      <c r="A89" s="13">
        <v>46077</v>
      </c>
      <c r="B89" s="12">
        <v>0.62</v>
      </c>
      <c r="C89" s="12">
        <v>6.2839999999999998</v>
      </c>
    </row>
    <row r="90" spans="1:3">
      <c r="A90" s="13">
        <v>46078</v>
      </c>
      <c r="B90" s="12">
        <v>0.62</v>
      </c>
      <c r="C90" s="12">
        <v>6.1840000000000002</v>
      </c>
    </row>
    <row r="91" spans="1:3">
      <c r="A91" s="13">
        <v>46079</v>
      </c>
      <c r="B91" s="12">
        <v>0.62</v>
      </c>
      <c r="C91" s="12">
        <v>6.0860000000000003</v>
      </c>
    </row>
    <row r="92" spans="1:3">
      <c r="A92" s="13">
        <v>46080</v>
      </c>
      <c r="B92" s="12">
        <v>0.62</v>
      </c>
      <c r="C92" s="12">
        <v>6.0419999999999998</v>
      </c>
    </row>
    <row r="93" spans="1:3">
      <c r="A93" s="13">
        <v>46081</v>
      </c>
      <c r="B93" s="12">
        <v>0.62</v>
      </c>
      <c r="C93" s="12">
        <v>5.8360000000000003</v>
      </c>
    </row>
    <row r="94" spans="1:3">
      <c r="A94" s="13">
        <v>46082</v>
      </c>
      <c r="B94" s="12">
        <v>0.62</v>
      </c>
      <c r="C94" s="12">
        <v>6.0069999999999997</v>
      </c>
    </row>
    <row r="95" spans="1:3">
      <c r="A95" s="13">
        <v>46083</v>
      </c>
      <c r="B95" s="12">
        <v>0.62</v>
      </c>
      <c r="C95" s="12">
        <v>6.4930000000000003</v>
      </c>
    </row>
    <row r="96" spans="1:3">
      <c r="A96" s="13">
        <v>46084</v>
      </c>
      <c r="B96" s="12">
        <v>0.62</v>
      </c>
      <c r="C96" s="12">
        <v>6.4749999999999996</v>
      </c>
    </row>
    <row r="97" spans="1:3">
      <c r="A97" s="13">
        <v>46085</v>
      </c>
      <c r="B97" s="12">
        <v>0.62</v>
      </c>
      <c r="C97" s="12">
        <v>6.4640000000000004</v>
      </c>
    </row>
    <row r="98" spans="1:3">
      <c r="A98" s="13">
        <v>46086</v>
      </c>
      <c r="B98" s="12">
        <v>0.62</v>
      </c>
      <c r="C98" s="12">
        <v>6.4530000000000003</v>
      </c>
    </row>
    <row r="99" spans="1:3">
      <c r="A99" s="13">
        <v>46087</v>
      </c>
      <c r="B99" s="12">
        <v>0.62</v>
      </c>
      <c r="C99" s="12">
        <v>6.3259999999999996</v>
      </c>
    </row>
    <row r="100" spans="1:3">
      <c r="A100" s="13">
        <v>46088</v>
      </c>
      <c r="B100" s="12">
        <v>0.62</v>
      </c>
      <c r="C100" s="12">
        <v>6.3259999999999996</v>
      </c>
    </row>
    <row r="101" spans="1:3">
      <c r="A101" s="13">
        <v>46089</v>
      </c>
      <c r="B101" s="12">
        <v>0.62</v>
      </c>
      <c r="C101" s="12">
        <v>6.2380000000000004</v>
      </c>
    </row>
    <row r="102" spans="1:3">
      <c r="A102" s="13">
        <v>46090</v>
      </c>
      <c r="B102" s="12">
        <v>0.62</v>
      </c>
      <c r="C102" s="12">
        <v>6.2210000000000001</v>
      </c>
    </row>
    <row r="103" spans="1:3">
      <c r="A103" s="13">
        <v>46091</v>
      </c>
      <c r="B103" s="12">
        <v>0.62</v>
      </c>
      <c r="C103" s="12">
        <v>6.1509999999999998</v>
      </c>
    </row>
    <row r="104" spans="1:3">
      <c r="A104" s="13">
        <v>46092</v>
      </c>
      <c r="B104" s="12">
        <v>0.62</v>
      </c>
      <c r="C104" s="12">
        <v>5.7770000000000001</v>
      </c>
    </row>
    <row r="105" spans="1:3">
      <c r="A105" s="13">
        <v>46093</v>
      </c>
      <c r="B105" s="12">
        <v>0.62</v>
      </c>
      <c r="C105" s="12">
        <v>5.7770000000000001</v>
      </c>
    </row>
    <row r="106" spans="1:3">
      <c r="A106" s="13">
        <v>46094</v>
      </c>
      <c r="B106" s="12">
        <v>0.62</v>
      </c>
      <c r="C106" s="12">
        <v>5.7750000000000004</v>
      </c>
    </row>
    <row r="107" spans="1:3">
      <c r="A107" s="13">
        <v>46095</v>
      </c>
      <c r="B107" s="12">
        <v>0.62</v>
      </c>
      <c r="C107" s="12">
        <v>5.7270000000000003</v>
      </c>
    </row>
    <row r="108" spans="1:3">
      <c r="A108" s="13">
        <v>46096</v>
      </c>
      <c r="B108" s="12">
        <v>0.62</v>
      </c>
      <c r="C108" s="12">
        <v>5.6980000000000004</v>
      </c>
    </row>
    <row r="109" spans="1:3">
      <c r="A109" s="13">
        <v>46097</v>
      </c>
      <c r="B109" s="12">
        <v>0.62</v>
      </c>
      <c r="C109" s="12">
        <v>5.6980000000000004</v>
      </c>
    </row>
    <row r="110" spans="1:3">
      <c r="A110" s="13">
        <v>46098</v>
      </c>
      <c r="B110" s="12">
        <v>0.62</v>
      </c>
      <c r="C110" s="12">
        <v>5.6980000000000004</v>
      </c>
    </row>
    <row r="111" spans="1:3">
      <c r="A111" s="13">
        <v>46099</v>
      </c>
      <c r="B111" s="12">
        <v>0.62</v>
      </c>
      <c r="C111" s="12">
        <v>5.6980000000000004</v>
      </c>
    </row>
    <row r="112" spans="1:3">
      <c r="A112" s="13">
        <v>46100</v>
      </c>
      <c r="B112" s="12">
        <v>0.62</v>
      </c>
      <c r="C112" s="12">
        <v>5.6980000000000004</v>
      </c>
    </row>
    <row r="113" spans="1:3">
      <c r="A113" s="13">
        <v>46101</v>
      </c>
      <c r="B113" s="12">
        <v>0.62</v>
      </c>
      <c r="C113" s="12">
        <v>5.6980000000000004</v>
      </c>
    </row>
    <row r="114" spans="1:3">
      <c r="A114" s="13">
        <v>46102</v>
      </c>
      <c r="B114" s="12">
        <v>0.62</v>
      </c>
      <c r="C114" s="12">
        <v>5.6950000000000003</v>
      </c>
    </row>
    <row r="115" spans="1:3">
      <c r="A115" s="13">
        <v>46103</v>
      </c>
      <c r="B115" s="12">
        <v>0.62</v>
      </c>
      <c r="C115" s="12">
        <v>5.6870000000000003</v>
      </c>
    </row>
    <row r="116" spans="1:3">
      <c r="A116" s="13">
        <v>46104</v>
      </c>
      <c r="B116" s="12">
        <v>0.62</v>
      </c>
      <c r="C116" s="12">
        <v>5.6849999999999996</v>
      </c>
    </row>
    <row r="117" spans="1:3">
      <c r="A117" s="13">
        <v>46105</v>
      </c>
      <c r="B117" s="12">
        <v>0.62</v>
      </c>
      <c r="C117" s="14">
        <v>5.69</v>
      </c>
    </row>
    <row r="118" spans="1:3">
      <c r="A118" s="13">
        <v>46106</v>
      </c>
      <c r="B118" s="12">
        <v>0.62</v>
      </c>
      <c r="C118" s="12">
        <v>5.6980000000000004</v>
      </c>
    </row>
    <row r="119" spans="1:3">
      <c r="A119" s="13">
        <v>46107</v>
      </c>
      <c r="B119" s="12">
        <v>0.62</v>
      </c>
      <c r="C119" s="12">
        <v>5.6980000000000004</v>
      </c>
    </row>
    <row r="120" spans="1:3">
      <c r="A120" s="13">
        <v>46108</v>
      </c>
      <c r="B120" s="12">
        <v>0.62</v>
      </c>
      <c r="C120" s="12">
        <v>5.6980000000000004</v>
      </c>
    </row>
    <row r="121" spans="1:3">
      <c r="A121" s="13">
        <v>46109</v>
      </c>
      <c r="B121" s="12">
        <v>0.62</v>
      </c>
      <c r="C121" s="12">
        <v>5.6980000000000004</v>
      </c>
    </row>
    <row r="122" spans="1:3">
      <c r="A122" s="13">
        <v>46110</v>
      </c>
      <c r="B122" s="12">
        <v>0.62</v>
      </c>
      <c r="C122" s="12">
        <v>5.6980000000000004</v>
      </c>
    </row>
    <row r="123" spans="1:3">
      <c r="A123" s="13">
        <v>46111</v>
      </c>
      <c r="B123" s="12">
        <v>0.62</v>
      </c>
      <c r="C123" s="12">
        <v>5.6980000000000004</v>
      </c>
    </row>
    <row r="124" spans="1:3">
      <c r="A124" s="13">
        <v>46112</v>
      </c>
      <c r="B124" s="12">
        <v>0.62</v>
      </c>
      <c r="C124" s="12">
        <v>5.6980000000000004</v>
      </c>
    </row>
    <row r="125" spans="1:3">
      <c r="A125" s="13">
        <v>46113</v>
      </c>
      <c r="B125" s="12">
        <v>0.62</v>
      </c>
      <c r="C125" s="12">
        <v>5.6820000000000004</v>
      </c>
    </row>
    <row r="126" spans="1:3">
      <c r="A126" s="13">
        <v>46114</v>
      </c>
      <c r="B126" s="12">
        <v>0.62</v>
      </c>
      <c r="C126" s="12">
        <v>5.5789999999999997</v>
      </c>
    </row>
    <row r="127" spans="1:3">
      <c r="A127" s="13">
        <v>46115</v>
      </c>
      <c r="B127" s="12">
        <v>0.62</v>
      </c>
      <c r="C127" s="12">
        <v>5.3019999999999996</v>
      </c>
    </row>
    <row r="128" spans="1:3">
      <c r="A128" s="13">
        <v>46116</v>
      </c>
      <c r="B128" s="12">
        <v>0.62</v>
      </c>
      <c r="C128" s="12">
        <v>5.3010000000000002</v>
      </c>
    </row>
    <row r="129" spans="1:3">
      <c r="A129" s="13">
        <v>46117</v>
      </c>
      <c r="B129" s="12">
        <v>0.62</v>
      </c>
      <c r="C129" s="12">
        <v>5.2839999999999998</v>
      </c>
    </row>
    <row r="130" spans="1:3">
      <c r="A130" s="13">
        <v>46118</v>
      </c>
      <c r="B130" s="12">
        <v>0.62</v>
      </c>
      <c r="C130" s="12">
        <v>5.1120000000000001</v>
      </c>
    </row>
    <row r="131" spans="1:3">
      <c r="A131" s="13">
        <v>46119</v>
      </c>
      <c r="B131" s="12">
        <v>0.62</v>
      </c>
      <c r="C131" s="12">
        <v>5.1040000000000001</v>
      </c>
    </row>
    <row r="132" spans="1:3">
      <c r="A132" s="13">
        <v>46120</v>
      </c>
      <c r="B132" s="12">
        <v>0.62</v>
      </c>
      <c r="C132" s="12">
        <v>5.1029999999999998</v>
      </c>
    </row>
    <row r="133" spans="1:3">
      <c r="A133" s="13">
        <v>46121</v>
      </c>
      <c r="B133" s="12">
        <v>0.62</v>
      </c>
      <c r="C133" s="12">
        <v>5.1029999999999998</v>
      </c>
    </row>
    <row r="134" spans="1:3">
      <c r="A134" s="13">
        <v>46122</v>
      </c>
      <c r="B134" s="12">
        <v>0.62</v>
      </c>
      <c r="C134" s="12">
        <v>2.8410000000000002</v>
      </c>
    </row>
    <row r="135" spans="1:3">
      <c r="A135" s="13">
        <v>46123</v>
      </c>
      <c r="B135" s="12">
        <v>0.62</v>
      </c>
      <c r="C135" s="12">
        <v>2.5379999999999998</v>
      </c>
    </row>
    <row r="136" spans="1:3">
      <c r="A136" s="13">
        <v>46124</v>
      </c>
      <c r="B136" s="12">
        <v>0.62</v>
      </c>
      <c r="C136" s="12">
        <v>2.5379999999999998</v>
      </c>
    </row>
    <row r="137" spans="1:3">
      <c r="A137" s="13">
        <v>46125</v>
      </c>
      <c r="B137" s="12">
        <v>0.62</v>
      </c>
      <c r="C137" s="12">
        <v>2.5379999999999998</v>
      </c>
    </row>
    <row r="138" spans="1:3">
      <c r="A138" s="13">
        <v>46126</v>
      </c>
      <c r="B138" s="12">
        <v>0.62</v>
      </c>
      <c r="C138" s="12">
        <v>2.5379999999999998</v>
      </c>
    </row>
    <row r="139" spans="1:3">
      <c r="A139" s="13">
        <v>46127</v>
      </c>
      <c r="B139" s="12">
        <v>0.62</v>
      </c>
      <c r="C139" s="12">
        <v>2.5379999999999998</v>
      </c>
    </row>
    <row r="140" spans="1:3">
      <c r="A140" s="13">
        <v>46128</v>
      </c>
      <c r="B140" s="12">
        <v>0.62</v>
      </c>
      <c r="C140" s="12">
        <v>2.5379999999999998</v>
      </c>
    </row>
    <row r="141" spans="1:3">
      <c r="A141" s="13">
        <v>46129</v>
      </c>
      <c r="B141" s="12">
        <v>0.62</v>
      </c>
      <c r="C141" s="12">
        <v>2.5379999999999998</v>
      </c>
    </row>
    <row r="142" spans="1:3">
      <c r="A142" s="13">
        <v>46130</v>
      </c>
      <c r="B142" s="12">
        <v>0.62</v>
      </c>
      <c r="C142" s="12">
        <v>2.5379999999999998</v>
      </c>
    </row>
    <row r="143" spans="1:3">
      <c r="A143" s="13">
        <v>46131</v>
      </c>
      <c r="B143" s="12">
        <v>0.62</v>
      </c>
      <c r="C143" s="12">
        <v>2.5379999999999998</v>
      </c>
    </row>
    <row r="144" spans="1:3">
      <c r="A144" s="13">
        <v>46132</v>
      </c>
      <c r="B144" s="12">
        <v>0.62</v>
      </c>
      <c r="C144" s="12">
        <v>2.5329999999999999</v>
      </c>
    </row>
    <row r="145" spans="1:3">
      <c r="A145" s="13">
        <v>46133</v>
      </c>
      <c r="B145" s="12">
        <v>0.62</v>
      </c>
      <c r="C145" s="12">
        <v>2.508</v>
      </c>
    </row>
    <row r="146" spans="1:3">
      <c r="A146" s="13">
        <v>46134</v>
      </c>
      <c r="B146" s="12">
        <v>0.62</v>
      </c>
      <c r="C146" s="12">
        <v>2.3090000000000002</v>
      </c>
    </row>
    <row r="147" spans="1:3">
      <c r="A147" s="13">
        <v>46135</v>
      </c>
      <c r="B147" s="12">
        <v>0.62</v>
      </c>
      <c r="C147" s="12">
        <v>2.3140000000000001</v>
      </c>
    </row>
    <row r="148" spans="1:3">
      <c r="A148" s="13">
        <v>46136</v>
      </c>
      <c r="B148" s="12">
        <v>0.62</v>
      </c>
      <c r="C148" s="12">
        <v>2.3050000000000002</v>
      </c>
    </row>
    <row r="149" spans="1:3">
      <c r="A149" s="13">
        <v>46137</v>
      </c>
      <c r="B149" s="12">
        <v>0.62</v>
      </c>
      <c r="C149" s="12">
        <v>2.2799999999999998</v>
      </c>
    </row>
    <row r="150" spans="1:3">
      <c r="A150" s="13">
        <v>46138</v>
      </c>
      <c r="B150" s="12">
        <v>0.62</v>
      </c>
      <c r="C150" s="12">
        <v>2.2759999999999998</v>
      </c>
    </row>
    <row r="151" spans="1:3">
      <c r="A151" s="13">
        <v>46139</v>
      </c>
      <c r="B151" s="12">
        <v>0.62</v>
      </c>
      <c r="C151" s="12">
        <v>2.2719999999999998</v>
      </c>
    </row>
    <row r="152" spans="1:3">
      <c r="A152" s="13">
        <v>46140</v>
      </c>
      <c r="B152" s="12">
        <v>0.62</v>
      </c>
      <c r="C152" s="12">
        <v>2.2719999999999998</v>
      </c>
    </row>
    <row r="153" spans="1:3">
      <c r="A153" s="13">
        <v>46141</v>
      </c>
      <c r="B153" s="12">
        <v>0.62</v>
      </c>
      <c r="C153" s="12">
        <v>2.2719999999999998</v>
      </c>
    </row>
    <row r="154" spans="1:3">
      <c r="A154" s="13">
        <v>46142</v>
      </c>
      <c r="B154" s="12">
        <v>0.62</v>
      </c>
      <c r="C154" s="12">
        <v>2.2719999999999998</v>
      </c>
    </row>
    <row r="155" spans="1:3">
      <c r="A155" s="13">
        <v>46143</v>
      </c>
      <c r="B155" s="12">
        <v>0.62</v>
      </c>
      <c r="C155" s="12">
        <v>1.921</v>
      </c>
    </row>
    <row r="156" spans="1:3">
      <c r="A156" s="13">
        <v>46144</v>
      </c>
      <c r="B156" s="12">
        <v>0.62</v>
      </c>
      <c r="C156" s="12">
        <v>1.8879999999999999</v>
      </c>
    </row>
    <row r="157" spans="1:3">
      <c r="A157" s="13">
        <v>46145</v>
      </c>
      <c r="B157" s="12">
        <v>0.62</v>
      </c>
      <c r="C157" s="12">
        <v>1.8839999999999999</v>
      </c>
    </row>
    <row r="158" spans="1:3">
      <c r="A158" s="13">
        <v>46146</v>
      </c>
      <c r="B158" s="12">
        <v>0.62</v>
      </c>
      <c r="C158" s="12">
        <v>1.8819999999999999</v>
      </c>
    </row>
    <row r="159" spans="1:3">
      <c r="A159" s="13">
        <v>46147</v>
      </c>
      <c r="B159" s="12">
        <v>0.62</v>
      </c>
      <c r="C159" s="12">
        <v>1.881</v>
      </c>
    </row>
    <row r="160" spans="1:3">
      <c r="A160" s="13">
        <v>46148</v>
      </c>
      <c r="B160" s="12">
        <v>0.62</v>
      </c>
      <c r="C160" s="12">
        <v>1.8759999999999999</v>
      </c>
    </row>
    <row r="161" spans="1:3">
      <c r="A161" s="13">
        <v>46149</v>
      </c>
      <c r="B161" s="12">
        <v>0.62</v>
      </c>
      <c r="C161" s="12">
        <v>1.851</v>
      </c>
    </row>
    <row r="162" spans="1:3">
      <c r="A162" s="13">
        <v>46150</v>
      </c>
      <c r="B162" s="12">
        <v>0.62</v>
      </c>
      <c r="C162" s="12">
        <v>1.8520000000000001</v>
      </c>
    </row>
    <row r="163" spans="1:3">
      <c r="A163" s="13">
        <v>46151</v>
      </c>
      <c r="B163" s="12">
        <v>0.62</v>
      </c>
      <c r="C163" s="12">
        <v>1.8520000000000001</v>
      </c>
    </row>
    <row r="164" spans="1:3">
      <c r="A164" s="13">
        <v>46152</v>
      </c>
      <c r="B164" s="12">
        <v>0.62</v>
      </c>
      <c r="C164" s="12">
        <v>1.8540000000000001</v>
      </c>
    </row>
    <row r="165" spans="1:3">
      <c r="A165" s="13">
        <v>46153</v>
      </c>
      <c r="B165" s="12">
        <v>0.62</v>
      </c>
      <c r="C165" s="12">
        <v>1.8520000000000001</v>
      </c>
    </row>
    <row r="166" spans="1:3">
      <c r="A166" s="13">
        <v>46154</v>
      </c>
      <c r="B166" s="12">
        <v>0.62</v>
      </c>
      <c r="C166" s="12">
        <v>1.851</v>
      </c>
    </row>
    <row r="167" spans="1:3">
      <c r="A167" s="13">
        <v>46155</v>
      </c>
      <c r="B167" s="12">
        <v>0.62</v>
      </c>
      <c r="C167" s="12">
        <v>1.851</v>
      </c>
    </row>
    <row r="168" spans="1:3">
      <c r="A168" s="13">
        <v>46156</v>
      </c>
      <c r="B168" s="12">
        <v>0.62</v>
      </c>
      <c r="C168" s="12">
        <v>1.851</v>
      </c>
    </row>
    <row r="169" spans="1:3">
      <c r="A169" s="13">
        <v>46157</v>
      </c>
      <c r="B169" s="12">
        <v>0.62</v>
      </c>
      <c r="C169" s="12">
        <v>1.851</v>
      </c>
    </row>
    <row r="170" spans="1:3">
      <c r="A170" s="13">
        <v>46158</v>
      </c>
      <c r="B170" s="12">
        <v>0.62</v>
      </c>
      <c r="C170" s="12">
        <v>1.7390000000000001</v>
      </c>
    </row>
    <row r="171" spans="1:3">
      <c r="A171" s="13">
        <v>46159</v>
      </c>
      <c r="B171" s="12">
        <v>0.62</v>
      </c>
      <c r="C171" s="12">
        <v>1.6439999999999999</v>
      </c>
    </row>
    <row r="172" spans="1:3">
      <c r="A172" s="13">
        <v>46160</v>
      </c>
      <c r="B172" s="12">
        <v>0.62</v>
      </c>
      <c r="C172" s="12">
        <v>1.6439999999999999</v>
      </c>
    </row>
    <row r="173" spans="1:3">
      <c r="A173" s="13">
        <v>46161</v>
      </c>
      <c r="B173" s="12">
        <v>0.62</v>
      </c>
      <c r="C173" s="12">
        <v>1.641</v>
      </c>
    </row>
    <row r="174" spans="1:3">
      <c r="A174" s="13">
        <v>46162</v>
      </c>
      <c r="B174" s="12">
        <v>0.62</v>
      </c>
      <c r="C174" s="12">
        <v>0.95399999999999996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1321-BC2B-44AB-BF81-6A295F3E9376}">
  <dimension ref="B2:E173"/>
  <sheetViews>
    <sheetView workbookViewId="0">
      <selection sqref="A1:XFD1048576"/>
    </sheetView>
  </sheetViews>
  <sheetFormatPr defaultRowHeight="14.5"/>
  <cols>
    <col min="1" max="1" width="8.7265625" style="1"/>
    <col min="2" max="2" width="10.453125" style="1" customWidth="1"/>
    <col min="3" max="16384" width="8.7265625" style="1"/>
  </cols>
  <sheetData>
    <row r="2" spans="2:4" ht="31.5" thickBot="1">
      <c r="B2" s="36" t="s">
        <v>5</v>
      </c>
      <c r="C2" s="37" t="s">
        <v>9</v>
      </c>
      <c r="D2" s="37" t="s">
        <v>10</v>
      </c>
    </row>
    <row r="3" spans="2:4">
      <c r="B3" s="38">
        <v>45992</v>
      </c>
      <c r="C3" s="39">
        <v>2.21</v>
      </c>
      <c r="D3" s="39">
        <v>13.208722501297455</v>
      </c>
    </row>
    <row r="4" spans="2:4">
      <c r="B4" s="38">
        <v>45993</v>
      </c>
      <c r="C4" s="39">
        <v>2.21</v>
      </c>
      <c r="D4" s="39">
        <v>13.208722501297455</v>
      </c>
    </row>
    <row r="5" spans="2:4">
      <c r="B5" s="38">
        <v>45994</v>
      </c>
      <c r="C5" s="39">
        <v>1.9</v>
      </c>
      <c r="D5" s="39">
        <v>10.593228837118039</v>
      </c>
    </row>
    <row r="6" spans="2:4">
      <c r="B6" s="38">
        <v>45995</v>
      </c>
      <c r="C6" s="39">
        <v>1.66</v>
      </c>
      <c r="D6" s="39">
        <v>8.6977296662303925</v>
      </c>
    </row>
    <row r="7" spans="2:4">
      <c r="B7" s="38">
        <v>45996</v>
      </c>
      <c r="C7" s="39">
        <v>1.63</v>
      </c>
      <c r="D7" s="39">
        <v>8.4691924004058095</v>
      </c>
    </row>
    <row r="8" spans="2:4">
      <c r="B8" s="38">
        <v>45997</v>
      </c>
      <c r="C8" s="39">
        <v>1.72</v>
      </c>
      <c r="D8" s="39">
        <v>9.1605094948491814</v>
      </c>
    </row>
    <row r="9" spans="2:4">
      <c r="B9" s="38">
        <v>45998</v>
      </c>
      <c r="C9" s="39">
        <v>1.88</v>
      </c>
      <c r="D9" s="39">
        <v>10.430822536172505</v>
      </c>
    </row>
    <row r="10" spans="2:4">
      <c r="B10" s="38">
        <v>45999</v>
      </c>
      <c r="C10" s="39">
        <v>1.68</v>
      </c>
      <c r="D10" s="39">
        <v>8.851148925010321</v>
      </c>
    </row>
    <row r="11" spans="2:4">
      <c r="B11" s="38">
        <v>46000</v>
      </c>
      <c r="C11" s="39">
        <v>1.61</v>
      </c>
      <c r="D11" s="39">
        <v>8.3179034639865019</v>
      </c>
    </row>
    <row r="12" spans="2:4">
      <c r="B12" s="38">
        <v>46001</v>
      </c>
      <c r="C12" s="39">
        <v>1.62</v>
      </c>
      <c r="D12" s="39">
        <v>8.3934405352759285</v>
      </c>
    </row>
    <row r="13" spans="2:4">
      <c r="B13" s="38">
        <v>46002</v>
      </c>
      <c r="C13" s="39">
        <v>1.72</v>
      </c>
      <c r="D13" s="39">
        <v>9.1605094948491814</v>
      </c>
    </row>
    <row r="14" spans="2:4">
      <c r="B14" s="38">
        <v>46003</v>
      </c>
      <c r="C14" s="39">
        <v>1.64</v>
      </c>
      <c r="D14" s="39">
        <v>8.5451583467751835</v>
      </c>
    </row>
    <row r="15" spans="2:4">
      <c r="B15" s="38">
        <v>46004</v>
      </c>
      <c r="C15" s="39">
        <v>1.57</v>
      </c>
      <c r="D15" s="39">
        <v>8.0179176097661635</v>
      </c>
    </row>
    <row r="16" spans="2:4">
      <c r="B16" s="38">
        <v>46005</v>
      </c>
      <c r="C16" s="39">
        <v>1.57</v>
      </c>
      <c r="D16" s="39">
        <v>8.0179176097661635</v>
      </c>
    </row>
    <row r="17" spans="2:5">
      <c r="B17" s="38">
        <v>46006</v>
      </c>
      <c r="C17" s="39">
        <v>1.58</v>
      </c>
      <c r="D17" s="39">
        <v>8.0925882419192732</v>
      </c>
    </row>
    <row r="18" spans="2:5">
      <c r="B18" s="38">
        <v>46007</v>
      </c>
      <c r="C18" s="39">
        <v>1.55</v>
      </c>
      <c r="D18" s="39">
        <v>7.8692324839839474</v>
      </c>
    </row>
    <row r="19" spans="2:5">
      <c r="B19" s="38">
        <v>46008</v>
      </c>
      <c r="C19" s="39">
        <v>1.54</v>
      </c>
      <c r="D19" s="39">
        <v>7.7952195080624458</v>
      </c>
    </row>
    <row r="20" spans="2:5">
      <c r="B20" s="38">
        <v>46009</v>
      </c>
      <c r="C20" s="40">
        <v>0</v>
      </c>
      <c r="D20" s="40">
        <v>0</v>
      </c>
      <c r="E20" s="1" t="s">
        <v>11</v>
      </c>
    </row>
    <row r="21" spans="2:5">
      <c r="B21" s="38">
        <v>46010</v>
      </c>
      <c r="C21" s="40">
        <v>0</v>
      </c>
      <c r="D21" s="40">
        <v>0</v>
      </c>
    </row>
    <row r="22" spans="2:5">
      <c r="B22" s="38">
        <v>46011</v>
      </c>
      <c r="C22" s="40">
        <v>0</v>
      </c>
      <c r="D22" s="40">
        <v>0</v>
      </c>
    </row>
    <row r="23" spans="2:5">
      <c r="B23" s="38">
        <v>46012</v>
      </c>
      <c r="C23" s="40">
        <v>0</v>
      </c>
      <c r="D23" s="40">
        <v>0</v>
      </c>
    </row>
    <row r="24" spans="2:5">
      <c r="B24" s="38">
        <v>46013</v>
      </c>
      <c r="C24" s="40">
        <v>0</v>
      </c>
      <c r="D24" s="40">
        <v>0</v>
      </c>
    </row>
    <row r="25" spans="2:5">
      <c r="B25" s="38">
        <v>46014</v>
      </c>
      <c r="C25" s="40">
        <v>0</v>
      </c>
      <c r="D25" s="40">
        <v>0</v>
      </c>
    </row>
    <row r="26" spans="2:5">
      <c r="B26" s="38">
        <v>46015</v>
      </c>
      <c r="C26" s="40">
        <v>0</v>
      </c>
      <c r="D26" s="40">
        <v>0</v>
      </c>
    </row>
    <row r="27" spans="2:5">
      <c r="B27" s="38">
        <v>46016</v>
      </c>
      <c r="C27" s="40">
        <v>0</v>
      </c>
      <c r="D27" s="40">
        <v>0</v>
      </c>
    </row>
    <row r="28" spans="2:5">
      <c r="B28" s="38">
        <v>46017</v>
      </c>
      <c r="C28" s="40">
        <v>0</v>
      </c>
      <c r="D28" s="40">
        <v>0</v>
      </c>
    </row>
    <row r="29" spans="2:5">
      <c r="B29" s="38">
        <v>46018</v>
      </c>
      <c r="C29" s="40">
        <v>0</v>
      </c>
      <c r="D29" s="40">
        <v>0</v>
      </c>
    </row>
    <row r="30" spans="2:5">
      <c r="B30" s="38">
        <v>46019</v>
      </c>
      <c r="C30" s="40">
        <v>0</v>
      </c>
      <c r="D30" s="40">
        <v>0</v>
      </c>
    </row>
    <row r="31" spans="2:5">
      <c r="B31" s="38">
        <v>46020</v>
      </c>
      <c r="C31" s="40">
        <v>0</v>
      </c>
      <c r="D31" s="40">
        <v>0</v>
      </c>
    </row>
    <row r="32" spans="2:5">
      <c r="B32" s="38">
        <v>46021</v>
      </c>
      <c r="C32" s="40">
        <v>0</v>
      </c>
      <c r="D32" s="40">
        <v>0</v>
      </c>
    </row>
    <row r="33" spans="2:4">
      <c r="B33" s="38">
        <v>46022</v>
      </c>
      <c r="C33" s="40">
        <v>0</v>
      </c>
      <c r="D33" s="40">
        <v>0</v>
      </c>
    </row>
    <row r="34" spans="2:4">
      <c r="B34" s="38">
        <v>46023</v>
      </c>
      <c r="C34" s="40">
        <v>0</v>
      </c>
      <c r="D34" s="40">
        <v>0</v>
      </c>
    </row>
    <row r="35" spans="2:4">
      <c r="B35" s="38">
        <v>46024</v>
      </c>
      <c r="C35" s="39">
        <v>2.19</v>
      </c>
      <c r="D35" s="39">
        <v>13.034563867232045</v>
      </c>
    </row>
    <row r="36" spans="2:4">
      <c r="B36" s="38">
        <v>46025</v>
      </c>
      <c r="C36" s="39">
        <v>1.97</v>
      </c>
      <c r="D36" s="39">
        <v>11.167829808095743</v>
      </c>
    </row>
    <row r="37" spans="2:4">
      <c r="B37" s="38">
        <v>46026</v>
      </c>
      <c r="C37" s="39">
        <v>1.83</v>
      </c>
      <c r="D37" s="39">
        <v>10.028285456622502</v>
      </c>
    </row>
    <row r="38" spans="2:4">
      <c r="B38" s="38">
        <v>46027</v>
      </c>
      <c r="C38" s="39">
        <v>1.73</v>
      </c>
      <c r="D38" s="39">
        <v>9.2383711779023852</v>
      </c>
    </row>
    <row r="39" spans="2:4">
      <c r="B39" s="38">
        <v>46028</v>
      </c>
      <c r="C39" s="39">
        <v>2.0499999999999998</v>
      </c>
      <c r="D39" s="39">
        <v>11.836102946473499</v>
      </c>
    </row>
    <row r="40" spans="2:4">
      <c r="B40" s="38">
        <v>46029</v>
      </c>
      <c r="C40" s="39">
        <v>1.72</v>
      </c>
      <c r="D40" s="39">
        <v>9.1605094948491814</v>
      </c>
    </row>
    <row r="41" spans="2:4">
      <c r="B41" s="38">
        <v>46030</v>
      </c>
      <c r="C41" s="39">
        <v>1.78</v>
      </c>
      <c r="D41" s="39">
        <v>9.6307764049435534</v>
      </c>
    </row>
    <row r="42" spans="2:4">
      <c r="B42" s="38">
        <v>46031</v>
      </c>
      <c r="C42" s="39">
        <v>1.85</v>
      </c>
      <c r="D42" s="39">
        <v>10.188701062408279</v>
      </c>
    </row>
    <row r="43" spans="2:4">
      <c r="B43" s="38">
        <v>46032</v>
      </c>
      <c r="C43" s="39">
        <v>1.74</v>
      </c>
      <c r="D43" s="39">
        <v>9.3164401683981861</v>
      </c>
    </row>
    <row r="44" spans="2:4">
      <c r="B44" s="38">
        <v>46033</v>
      </c>
      <c r="C44" s="39">
        <v>1.69</v>
      </c>
      <c r="D44" s="39">
        <v>8.9281748195289747</v>
      </c>
    </row>
    <row r="45" spans="2:4">
      <c r="B45" s="38">
        <v>46034</v>
      </c>
      <c r="C45" s="39">
        <v>2.0299999999999998</v>
      </c>
      <c r="D45" s="39">
        <v>11.667889622356704</v>
      </c>
    </row>
    <row r="46" spans="2:4">
      <c r="B46" s="38">
        <v>46035</v>
      </c>
      <c r="C46" s="39">
        <v>1.72</v>
      </c>
      <c r="D46" s="39">
        <v>9.1605094948491814</v>
      </c>
    </row>
    <row r="47" spans="2:4">
      <c r="B47" s="38">
        <v>46036</v>
      </c>
      <c r="C47" s="39">
        <v>1.77</v>
      </c>
      <c r="D47" s="39">
        <v>9.5518845705806505</v>
      </c>
    </row>
    <row r="48" spans="2:4">
      <c r="B48" s="38">
        <v>46037</v>
      </c>
      <c r="C48" s="39">
        <v>1.76</v>
      </c>
      <c r="D48" s="39">
        <v>9.4731975004894409</v>
      </c>
    </row>
    <row r="49" spans="2:4">
      <c r="B49" s="38">
        <v>46038</v>
      </c>
      <c r="C49" s="39">
        <v>1.88</v>
      </c>
      <c r="D49" s="39">
        <v>10.430822536172505</v>
      </c>
    </row>
    <row r="50" spans="2:4">
      <c r="B50" s="38">
        <v>46039</v>
      </c>
      <c r="C50" s="39">
        <v>1.87</v>
      </c>
      <c r="D50" s="39">
        <v>10.349916409559388</v>
      </c>
    </row>
    <row r="51" spans="2:4">
      <c r="B51" s="38">
        <v>46040</v>
      </c>
      <c r="C51" s="39">
        <v>1.82</v>
      </c>
      <c r="D51" s="39">
        <v>9.9483790249355941</v>
      </c>
    </row>
    <row r="52" spans="2:4">
      <c r="B52" s="38">
        <v>46041</v>
      </c>
      <c r="C52" s="39">
        <v>1.8</v>
      </c>
      <c r="D52" s="39">
        <v>9.7891718838230943</v>
      </c>
    </row>
    <row r="53" spans="2:4">
      <c r="B53" s="38">
        <v>46042</v>
      </c>
      <c r="C53" s="39">
        <v>1.8</v>
      </c>
      <c r="D53" s="39">
        <v>9.7891718838230943</v>
      </c>
    </row>
    <row r="54" spans="2:4">
      <c r="B54" s="38">
        <v>46043</v>
      </c>
      <c r="C54" s="39">
        <v>1.84</v>
      </c>
      <c r="D54" s="39">
        <v>10.108392999433947</v>
      </c>
    </row>
    <row r="55" spans="2:4">
      <c r="B55" s="38">
        <v>46044</v>
      </c>
      <c r="C55" s="39">
        <v>1.79</v>
      </c>
      <c r="D55" s="39">
        <v>9.7098723815732395</v>
      </c>
    </row>
    <row r="56" spans="2:4">
      <c r="B56" s="38">
        <v>46045</v>
      </c>
      <c r="C56" s="39">
        <v>1.71</v>
      </c>
      <c r="D56" s="39">
        <v>9.0828557692252758</v>
      </c>
    </row>
    <row r="57" spans="2:4">
      <c r="B57" s="38">
        <v>46046</v>
      </c>
      <c r="C57" s="39">
        <v>1.64</v>
      </c>
      <c r="D57" s="39">
        <v>8.5451583467751835</v>
      </c>
    </row>
    <row r="58" spans="2:4">
      <c r="B58" s="38">
        <v>46047</v>
      </c>
      <c r="C58" s="39">
        <v>1.62</v>
      </c>
      <c r="D58" s="39">
        <v>8.3934405352759285</v>
      </c>
    </row>
    <row r="59" spans="2:4">
      <c r="B59" s="38">
        <v>46048</v>
      </c>
      <c r="C59" s="39">
        <v>1.66</v>
      </c>
      <c r="D59" s="39">
        <v>8.6977296662303925</v>
      </c>
    </row>
    <row r="60" spans="2:4">
      <c r="B60" s="38">
        <v>46049</v>
      </c>
      <c r="C60" s="39">
        <v>1.6</v>
      </c>
      <c r="D60" s="39">
        <v>8.2425819059450802</v>
      </c>
    </row>
    <row r="61" spans="2:4">
      <c r="B61" s="38">
        <v>46050</v>
      </c>
      <c r="C61" s="39">
        <v>1.59</v>
      </c>
      <c r="D61" s="39">
        <v>8.1674765874737183</v>
      </c>
    </row>
    <row r="62" spans="2:4">
      <c r="B62" s="38">
        <v>46051</v>
      </c>
      <c r="C62" s="39">
        <v>1.57</v>
      </c>
      <c r="D62" s="39">
        <v>8.0179176097661635</v>
      </c>
    </row>
    <row r="63" spans="2:4">
      <c r="B63" s="38">
        <v>46052</v>
      </c>
      <c r="C63" s="39">
        <v>1.56</v>
      </c>
      <c r="D63" s="39">
        <v>7.943465438751689</v>
      </c>
    </row>
    <row r="64" spans="2:4">
      <c r="B64" s="38">
        <v>46053</v>
      </c>
      <c r="C64" s="39">
        <v>1.56</v>
      </c>
      <c r="D64" s="39">
        <v>7.943465438751689</v>
      </c>
    </row>
    <row r="65" spans="2:4">
      <c r="B65" s="38">
        <v>46054</v>
      </c>
      <c r="C65" s="39">
        <v>2.15</v>
      </c>
      <c r="D65" s="39">
        <v>12.68844052071905</v>
      </c>
    </row>
    <row r="66" spans="2:4">
      <c r="B66" s="38">
        <v>46055</v>
      </c>
      <c r="C66" s="39">
        <v>1.67</v>
      </c>
      <c r="D66" s="39">
        <v>8.7743336472084312</v>
      </c>
    </row>
    <row r="67" spans="2:4">
      <c r="B67" s="38">
        <v>46056</v>
      </c>
      <c r="C67" s="39">
        <v>1.69</v>
      </c>
      <c r="D67" s="39">
        <v>8.9281748195289747</v>
      </c>
    </row>
    <row r="68" spans="2:4">
      <c r="B68" s="38">
        <v>46057</v>
      </c>
      <c r="C68" s="39">
        <v>1.72</v>
      </c>
      <c r="D68" s="39">
        <v>9.1605094948491814</v>
      </c>
    </row>
    <row r="69" spans="2:4">
      <c r="B69" s="38">
        <v>46058</v>
      </c>
      <c r="C69" s="39">
        <v>1.7</v>
      </c>
      <c r="D69" s="39">
        <v>9.0054106568632832</v>
      </c>
    </row>
    <row r="70" spans="2:4">
      <c r="B70" s="38">
        <v>46059</v>
      </c>
      <c r="C70" s="39">
        <v>1.58</v>
      </c>
      <c r="D70" s="39">
        <v>8.0925882419192732</v>
      </c>
    </row>
    <row r="71" spans="2:4">
      <c r="B71" s="38">
        <v>46060</v>
      </c>
      <c r="C71" s="39">
        <v>1.55</v>
      </c>
      <c r="D71" s="39">
        <v>7.8692324839839474</v>
      </c>
    </row>
    <row r="72" spans="2:4">
      <c r="B72" s="38">
        <v>46061</v>
      </c>
      <c r="C72" s="39">
        <v>1.53</v>
      </c>
      <c r="D72" s="39">
        <v>7.7214272812014793</v>
      </c>
    </row>
    <row r="73" spans="2:4">
      <c r="B73" s="38">
        <v>46062</v>
      </c>
      <c r="C73" s="39">
        <v>1.51</v>
      </c>
      <c r="D73" s="39">
        <v>7.574508194352596</v>
      </c>
    </row>
    <row r="74" spans="2:4">
      <c r="B74" s="38">
        <v>46063</v>
      </c>
      <c r="C74" s="39">
        <v>1.52</v>
      </c>
      <c r="D74" s="39">
        <v>7.6478565813563639</v>
      </c>
    </row>
    <row r="75" spans="2:4">
      <c r="B75" s="38">
        <v>46064</v>
      </c>
      <c r="C75" s="39">
        <v>1.5</v>
      </c>
      <c r="D75" s="39">
        <v>7.5013829140180421</v>
      </c>
    </row>
    <row r="76" spans="2:4">
      <c r="B76" s="38">
        <v>46065</v>
      </c>
      <c r="C76" s="39">
        <v>1.5</v>
      </c>
      <c r="D76" s="39">
        <v>7.5013829140180421</v>
      </c>
    </row>
    <row r="77" spans="2:4">
      <c r="B77" s="38">
        <v>46066</v>
      </c>
      <c r="C77" s="39">
        <v>1.48</v>
      </c>
      <c r="D77" s="39">
        <v>7.3558048894949453</v>
      </c>
    </row>
    <row r="78" spans="2:4">
      <c r="B78" s="38">
        <v>46067</v>
      </c>
      <c r="C78" s="39">
        <v>1.6</v>
      </c>
      <c r="D78" s="39">
        <v>8.2425819059450802</v>
      </c>
    </row>
    <row r="79" spans="2:4">
      <c r="B79" s="38">
        <v>46068</v>
      </c>
      <c r="C79" s="39">
        <v>1.52</v>
      </c>
      <c r="D79" s="39">
        <v>7.6478565813563639</v>
      </c>
    </row>
    <row r="80" spans="2:4">
      <c r="B80" s="38">
        <v>46069</v>
      </c>
      <c r="C80" s="39">
        <v>1.53</v>
      </c>
      <c r="D80" s="39">
        <v>7.7214272812014793</v>
      </c>
    </row>
    <row r="81" spans="2:4">
      <c r="B81" s="38">
        <v>46070</v>
      </c>
      <c r="C81" s="39">
        <v>1.5</v>
      </c>
      <c r="D81" s="39">
        <v>7.5013829140180421</v>
      </c>
    </row>
    <row r="82" spans="2:4">
      <c r="B82" s="38">
        <v>46071</v>
      </c>
      <c r="C82" s="39">
        <v>1.49</v>
      </c>
      <c r="D82" s="39">
        <v>7.4284815423182478</v>
      </c>
    </row>
    <row r="83" spans="2:4">
      <c r="B83" s="38">
        <v>46072</v>
      </c>
      <c r="C83" s="39">
        <v>1.48</v>
      </c>
      <c r="D83" s="39">
        <v>7.3558048894949453</v>
      </c>
    </row>
    <row r="84" spans="2:4">
      <c r="B84" s="38">
        <v>46073</v>
      </c>
      <c r="C84" s="39">
        <v>1.48</v>
      </c>
      <c r="D84" s="39">
        <v>7.3558048894949453</v>
      </c>
    </row>
    <row r="85" spans="2:4">
      <c r="B85" s="38">
        <v>46074</v>
      </c>
      <c r="C85" s="39">
        <v>1.48</v>
      </c>
      <c r="D85" s="39">
        <v>7.3558048894949453</v>
      </c>
    </row>
    <row r="86" spans="2:4">
      <c r="B86" s="38">
        <v>46075</v>
      </c>
      <c r="C86" s="39">
        <v>1.52</v>
      </c>
      <c r="D86" s="39">
        <v>7.6478565813563639</v>
      </c>
    </row>
    <row r="87" spans="2:4">
      <c r="B87" s="38">
        <v>46076</v>
      </c>
      <c r="C87" s="39">
        <v>1.49</v>
      </c>
      <c r="D87" s="39">
        <v>7.4284815423182478</v>
      </c>
    </row>
    <row r="88" spans="2:4">
      <c r="B88" s="38">
        <v>46077</v>
      </c>
      <c r="C88" s="39">
        <v>1.54</v>
      </c>
      <c r="D88" s="39">
        <v>7.7952195080624458</v>
      </c>
    </row>
    <row r="89" spans="2:4">
      <c r="B89" s="38">
        <v>46078</v>
      </c>
      <c r="C89" s="39">
        <v>1.67</v>
      </c>
      <c r="D89" s="39">
        <v>8.7743336472084312</v>
      </c>
    </row>
    <row r="90" spans="2:4">
      <c r="B90" s="38">
        <v>46079</v>
      </c>
      <c r="C90" s="39">
        <v>1.65</v>
      </c>
      <c r="D90" s="39">
        <v>8.6213376684841148</v>
      </c>
    </row>
    <row r="91" spans="2:4">
      <c r="B91" s="38">
        <v>46080</v>
      </c>
      <c r="C91" s="39">
        <v>1.63</v>
      </c>
      <c r="D91" s="39">
        <v>8.4691924004058095</v>
      </c>
    </row>
    <row r="92" spans="2:4">
      <c r="B92" s="38">
        <v>46081</v>
      </c>
      <c r="C92" s="39">
        <v>1.57</v>
      </c>
      <c r="D92" s="39">
        <v>8.0179176097661635</v>
      </c>
    </row>
    <row r="93" spans="2:4">
      <c r="B93" s="38">
        <v>46082</v>
      </c>
      <c r="C93" s="39">
        <v>1.47</v>
      </c>
      <c r="D93" s="39">
        <v>7.2833537742078773</v>
      </c>
    </row>
    <row r="94" spans="2:4">
      <c r="B94" s="38">
        <v>46083</v>
      </c>
      <c r="C94" s="39">
        <v>1.44</v>
      </c>
      <c r="D94" s="39">
        <v>7.0673619695062655</v>
      </c>
    </row>
    <row r="95" spans="2:4">
      <c r="B95" s="38">
        <v>46084</v>
      </c>
      <c r="C95" s="39">
        <v>1.5</v>
      </c>
      <c r="D95" s="39">
        <v>7.5013829140180421</v>
      </c>
    </row>
    <row r="96" spans="2:4">
      <c r="B96" s="38">
        <v>46085</v>
      </c>
      <c r="C96" s="39">
        <v>1.47</v>
      </c>
      <c r="D96" s="39">
        <v>7.2833537742078773</v>
      </c>
    </row>
    <row r="97" spans="2:4">
      <c r="B97" s="38">
        <v>46086</v>
      </c>
      <c r="C97" s="39">
        <v>1.47</v>
      </c>
      <c r="D97" s="39">
        <v>7.2833537742078773</v>
      </c>
    </row>
    <row r="98" spans="2:4">
      <c r="B98" s="38">
        <v>46087</v>
      </c>
      <c r="C98" s="39">
        <v>1.46</v>
      </c>
      <c r="D98" s="39">
        <v>7.2111290236800309</v>
      </c>
    </row>
    <row r="99" spans="2:4">
      <c r="B99" s="38">
        <v>46088</v>
      </c>
      <c r="C99" s="39">
        <v>1.48</v>
      </c>
      <c r="D99" s="39">
        <v>7.3558048894949453</v>
      </c>
    </row>
    <row r="100" spans="2:4">
      <c r="B100" s="38">
        <v>46089</v>
      </c>
      <c r="C100" s="39">
        <v>1.47</v>
      </c>
      <c r="D100" s="39">
        <v>7.2833537742078773</v>
      </c>
    </row>
    <row r="101" spans="2:4">
      <c r="B101" s="38">
        <v>46090</v>
      </c>
      <c r="C101" s="39">
        <v>1.63</v>
      </c>
      <c r="D101" s="39">
        <v>8.4691924004058095</v>
      </c>
    </row>
    <row r="102" spans="2:4">
      <c r="B102" s="38">
        <v>46091</v>
      </c>
      <c r="C102" s="39">
        <v>1.61</v>
      </c>
      <c r="D102" s="39">
        <v>8.3179034639865019</v>
      </c>
    </row>
    <row r="103" spans="2:4">
      <c r="B103" s="38">
        <v>46092</v>
      </c>
      <c r="C103" s="39">
        <v>1.49</v>
      </c>
      <c r="D103" s="39">
        <v>7.4284815423182478</v>
      </c>
    </row>
    <row r="104" spans="2:4">
      <c r="B104" s="38">
        <v>46093</v>
      </c>
      <c r="C104" s="39">
        <v>1.42</v>
      </c>
      <c r="D104" s="39">
        <v>6.9245105217663481</v>
      </c>
    </row>
    <row r="105" spans="2:4">
      <c r="B105" s="38">
        <v>46094</v>
      </c>
      <c r="C105" s="39">
        <v>1.47</v>
      </c>
      <c r="D105" s="39">
        <v>7.2833537742078773</v>
      </c>
    </row>
    <row r="106" spans="2:4">
      <c r="B106" s="38">
        <v>46095</v>
      </c>
      <c r="C106" s="39">
        <v>1.48</v>
      </c>
      <c r="D106" s="39">
        <v>7.3558048894949453</v>
      </c>
    </row>
    <row r="107" spans="2:4">
      <c r="B107" s="38">
        <v>46096</v>
      </c>
      <c r="C107" s="39">
        <v>1.47</v>
      </c>
      <c r="D107" s="39">
        <v>7.2833537742078773</v>
      </c>
    </row>
    <row r="108" spans="2:4">
      <c r="B108" s="38">
        <v>46097</v>
      </c>
      <c r="C108" s="39">
        <v>1.51</v>
      </c>
      <c r="D108" s="39">
        <v>7.574508194352596</v>
      </c>
    </row>
    <row r="109" spans="2:4">
      <c r="B109" s="38">
        <v>46098</v>
      </c>
      <c r="C109" s="39">
        <v>1.52</v>
      </c>
      <c r="D109" s="39">
        <v>7.6478565813563639</v>
      </c>
    </row>
    <row r="110" spans="2:4">
      <c r="B110" s="38">
        <v>46099</v>
      </c>
      <c r="C110" s="39">
        <v>1.5</v>
      </c>
      <c r="D110" s="39">
        <v>7.5013829140180421</v>
      </c>
    </row>
    <row r="111" spans="2:4">
      <c r="B111" s="38">
        <v>46100</v>
      </c>
      <c r="C111" s="39">
        <v>1.51</v>
      </c>
      <c r="D111" s="39">
        <v>7.574508194352596</v>
      </c>
    </row>
    <row r="112" spans="2:4">
      <c r="B112" s="38">
        <v>46101</v>
      </c>
      <c r="C112" s="39">
        <v>1.6</v>
      </c>
      <c r="D112" s="39">
        <v>8.2425819059450802</v>
      </c>
    </row>
    <row r="113" spans="2:4">
      <c r="B113" s="38">
        <v>46102</v>
      </c>
      <c r="C113" s="39">
        <v>1.52</v>
      </c>
      <c r="D113" s="39">
        <v>7.6478565813563639</v>
      </c>
    </row>
    <row r="114" spans="2:4">
      <c r="B114" s="38">
        <v>46103</v>
      </c>
      <c r="C114" s="39">
        <v>1.96</v>
      </c>
      <c r="D114" s="39">
        <v>11.085159870223046</v>
      </c>
    </row>
    <row r="115" spans="2:4">
      <c r="B115" s="38">
        <v>46104</v>
      </c>
      <c r="C115" s="39">
        <v>1.76</v>
      </c>
      <c r="D115" s="39">
        <v>9.4731975004894409</v>
      </c>
    </row>
    <row r="116" spans="2:4">
      <c r="B116" s="38">
        <v>46105</v>
      </c>
      <c r="C116" s="39">
        <v>1.76</v>
      </c>
      <c r="D116" s="39">
        <v>9.4731975004894409</v>
      </c>
    </row>
    <row r="117" spans="2:4">
      <c r="B117" s="38">
        <v>46106</v>
      </c>
      <c r="C117" s="39">
        <v>1.74</v>
      </c>
      <c r="D117" s="39">
        <v>9.3164401683981861</v>
      </c>
    </row>
    <row r="118" spans="2:4">
      <c r="B118" s="38">
        <v>46107</v>
      </c>
      <c r="C118" s="39">
        <v>1.66</v>
      </c>
      <c r="D118" s="39">
        <v>8.6977296662303925</v>
      </c>
    </row>
    <row r="119" spans="2:4">
      <c r="B119" s="38">
        <v>46108</v>
      </c>
      <c r="C119" s="39">
        <v>1.6</v>
      </c>
      <c r="D119" s="39">
        <v>8.2425819059450802</v>
      </c>
    </row>
    <row r="120" spans="2:4">
      <c r="B120" s="38">
        <v>46109</v>
      </c>
      <c r="C120" s="39">
        <v>1.58</v>
      </c>
      <c r="D120" s="39">
        <v>8.0925882419192732</v>
      </c>
    </row>
    <row r="121" spans="2:4">
      <c r="B121" s="38">
        <v>46110</v>
      </c>
      <c r="C121" s="39">
        <v>1.55</v>
      </c>
      <c r="D121" s="39">
        <v>7.8692324839839474</v>
      </c>
    </row>
    <row r="122" spans="2:4">
      <c r="B122" s="38">
        <v>46111</v>
      </c>
      <c r="C122" s="39">
        <v>1.57</v>
      </c>
      <c r="D122" s="39">
        <v>8.0179176097661635</v>
      </c>
    </row>
    <row r="123" spans="2:4">
      <c r="B123" s="38">
        <v>46112</v>
      </c>
      <c r="C123" s="39">
        <v>1.56</v>
      </c>
      <c r="D123" s="39">
        <v>7.943465438751689</v>
      </c>
    </row>
    <row r="124" spans="2:4">
      <c r="B124" s="38">
        <v>46113</v>
      </c>
      <c r="C124" s="39">
        <v>1.67</v>
      </c>
      <c r="D124" s="39">
        <v>8.7743336472084312</v>
      </c>
    </row>
    <row r="125" spans="2:4">
      <c r="B125" s="38">
        <v>46114</v>
      </c>
      <c r="C125" s="39">
        <v>1.65</v>
      </c>
      <c r="D125" s="39">
        <v>8.6213376684841148</v>
      </c>
    </row>
    <row r="126" spans="2:4">
      <c r="B126" s="38">
        <v>46115</v>
      </c>
      <c r="C126" s="39">
        <v>1.65</v>
      </c>
      <c r="D126" s="39">
        <v>8.6213376684841148</v>
      </c>
    </row>
    <row r="127" spans="2:4">
      <c r="B127" s="38">
        <v>46116</v>
      </c>
      <c r="C127" s="39">
        <v>1.51</v>
      </c>
      <c r="D127" s="39">
        <v>7.574508194352596</v>
      </c>
    </row>
    <row r="128" spans="2:4">
      <c r="B128" s="38">
        <v>46117</v>
      </c>
      <c r="C128" s="39">
        <v>1.49</v>
      </c>
      <c r="D128" s="39">
        <v>7.4284815423182478</v>
      </c>
    </row>
    <row r="129" spans="2:4">
      <c r="B129" s="38">
        <v>46118</v>
      </c>
      <c r="C129" s="39">
        <v>1.48</v>
      </c>
      <c r="D129" s="39">
        <v>7.3558048894949453</v>
      </c>
    </row>
    <row r="130" spans="2:4">
      <c r="B130" s="38">
        <v>46119</v>
      </c>
      <c r="C130" s="39">
        <v>1.47</v>
      </c>
      <c r="D130" s="39">
        <v>7.2833537742078773</v>
      </c>
    </row>
    <row r="131" spans="2:4">
      <c r="B131" s="38">
        <v>46120</v>
      </c>
      <c r="C131" s="39">
        <v>1.47</v>
      </c>
      <c r="D131" s="39">
        <v>7.2833537742078773</v>
      </c>
    </row>
    <row r="132" spans="2:4">
      <c r="B132" s="38">
        <v>46121</v>
      </c>
      <c r="C132" s="39">
        <v>1.48</v>
      </c>
      <c r="D132" s="39">
        <v>7.3558048894949453</v>
      </c>
    </row>
    <row r="133" spans="2:4">
      <c r="B133" s="38">
        <v>46122</v>
      </c>
      <c r="C133" s="39">
        <v>1.47</v>
      </c>
      <c r="D133" s="39">
        <v>7.2833537742078773</v>
      </c>
    </row>
    <row r="134" spans="2:4">
      <c r="B134" s="38">
        <v>46123</v>
      </c>
      <c r="C134" s="39">
        <v>1.46</v>
      </c>
      <c r="D134" s="39">
        <v>7.2111290236800309</v>
      </c>
    </row>
    <row r="135" spans="2:4">
      <c r="B135" s="38">
        <v>46124</v>
      </c>
      <c r="C135" s="39">
        <v>1.45</v>
      </c>
      <c r="D135" s="39">
        <v>7.1391314738463816</v>
      </c>
    </row>
    <row r="136" spans="2:4">
      <c r="B136" s="38">
        <v>46125</v>
      </c>
      <c r="C136" s="39">
        <v>1.45</v>
      </c>
      <c r="D136" s="39">
        <v>7.1391314738463816</v>
      </c>
    </row>
    <row r="137" spans="2:4">
      <c r="B137" s="38">
        <v>46126</v>
      </c>
      <c r="C137" s="39">
        <v>1.47</v>
      </c>
      <c r="D137" s="39">
        <v>7.2833537742078773</v>
      </c>
    </row>
    <row r="138" spans="2:4">
      <c r="B138" s="38">
        <v>46127</v>
      </c>
      <c r="C138" s="39">
        <v>1.46</v>
      </c>
      <c r="D138" s="39">
        <v>7.2111290236800309</v>
      </c>
    </row>
    <row r="139" spans="2:4">
      <c r="B139" s="38">
        <v>46128</v>
      </c>
      <c r="C139" s="39">
        <v>1.51</v>
      </c>
      <c r="D139" s="39">
        <v>7.574508194352596</v>
      </c>
    </row>
    <row r="140" spans="2:4">
      <c r="B140" s="38">
        <v>46129</v>
      </c>
      <c r="C140" s="39">
        <v>1.53</v>
      </c>
      <c r="D140" s="39">
        <v>7.7214272812014793</v>
      </c>
    </row>
    <row r="141" spans="2:4">
      <c r="B141" s="38">
        <v>46130</v>
      </c>
      <c r="C141" s="39">
        <v>1.5</v>
      </c>
      <c r="D141" s="39">
        <v>7.5013829140180421</v>
      </c>
    </row>
    <row r="142" spans="2:4">
      <c r="B142" s="38">
        <v>46131</v>
      </c>
      <c r="C142" s="39">
        <v>1.48</v>
      </c>
      <c r="D142" s="39">
        <v>7.3558048894949453</v>
      </c>
    </row>
    <row r="143" spans="2:4">
      <c r="B143" s="38">
        <v>46132</v>
      </c>
      <c r="C143" s="39">
        <v>1.49</v>
      </c>
      <c r="D143" s="39">
        <v>7.4284815423182478</v>
      </c>
    </row>
    <row r="144" spans="2:4">
      <c r="B144" s="38">
        <v>46133</v>
      </c>
      <c r="C144" s="39">
        <v>1.48</v>
      </c>
      <c r="D144" s="39">
        <v>7.4284815423182478</v>
      </c>
    </row>
    <row r="145" spans="2:4">
      <c r="B145" s="38">
        <v>46134</v>
      </c>
      <c r="C145" s="39">
        <v>1.58</v>
      </c>
      <c r="D145" s="39">
        <v>8.0925882419192732</v>
      </c>
    </row>
    <row r="146" spans="2:4">
      <c r="B146" s="38">
        <v>46135</v>
      </c>
      <c r="C146" s="39">
        <v>1.69</v>
      </c>
      <c r="D146" s="39">
        <v>8.9281748195289747</v>
      </c>
    </row>
    <row r="147" spans="2:4">
      <c r="B147" s="38">
        <v>46136</v>
      </c>
      <c r="C147" s="39">
        <v>1.69</v>
      </c>
      <c r="D147" s="39">
        <v>8.9281748195289747</v>
      </c>
    </row>
    <row r="148" spans="2:4">
      <c r="B148" s="38">
        <v>46137</v>
      </c>
      <c r="C148" s="39">
        <v>1.75</v>
      </c>
      <c r="D148" s="39">
        <v>9.3947158221103653</v>
      </c>
    </row>
    <row r="149" spans="2:4">
      <c r="B149" s="38">
        <v>46138</v>
      </c>
      <c r="C149" s="39">
        <v>1.66</v>
      </c>
      <c r="D149" s="39">
        <v>8.6977296662303925</v>
      </c>
    </row>
    <row r="150" spans="2:4">
      <c r="B150" s="38">
        <v>46139</v>
      </c>
      <c r="C150" s="39">
        <v>1.57</v>
      </c>
      <c r="D150" s="39">
        <v>8.0179176097661635</v>
      </c>
    </row>
    <row r="151" spans="2:4">
      <c r="B151" s="38">
        <v>46140</v>
      </c>
      <c r="C151" s="39">
        <v>1.55</v>
      </c>
      <c r="D151" s="39">
        <v>7.8692324839839474</v>
      </c>
    </row>
    <row r="152" spans="2:4">
      <c r="B152" s="38">
        <v>46141</v>
      </c>
      <c r="C152" s="39">
        <v>1.54</v>
      </c>
      <c r="D152" s="39">
        <v>7.7952195080624458</v>
      </c>
    </row>
    <row r="153" spans="2:4">
      <c r="B153" s="38">
        <v>46142</v>
      </c>
      <c r="C153" s="39">
        <v>1.53</v>
      </c>
      <c r="D153" s="39">
        <v>7.7214272812014793</v>
      </c>
    </row>
    <row r="154" spans="2:4">
      <c r="B154" s="38">
        <v>46143</v>
      </c>
      <c r="C154" s="39">
        <v>1.51</v>
      </c>
      <c r="D154" s="39">
        <v>7.574508194352596</v>
      </c>
    </row>
    <row r="155" spans="2:4">
      <c r="B155" s="38">
        <v>46144</v>
      </c>
      <c r="C155" s="39">
        <v>1.51</v>
      </c>
      <c r="D155" s="39">
        <v>7.574508194352596</v>
      </c>
    </row>
    <row r="156" spans="2:4">
      <c r="B156" s="38">
        <v>46145</v>
      </c>
      <c r="C156" s="39">
        <v>1.51</v>
      </c>
      <c r="D156" s="39">
        <v>7.574508194352596</v>
      </c>
    </row>
    <row r="157" spans="2:4">
      <c r="B157" s="38">
        <v>46146</v>
      </c>
      <c r="C157" s="39">
        <v>1.49</v>
      </c>
      <c r="D157" s="39">
        <v>7.4284815423182478</v>
      </c>
    </row>
    <row r="158" spans="2:4">
      <c r="B158" s="38">
        <v>46147</v>
      </c>
      <c r="C158" s="39">
        <v>1.5</v>
      </c>
      <c r="D158" s="39">
        <v>7.5013829140180421</v>
      </c>
    </row>
    <row r="159" spans="2:4">
      <c r="B159" s="38">
        <v>46148</v>
      </c>
      <c r="C159" s="39">
        <v>1.48</v>
      </c>
      <c r="D159" s="39">
        <v>7.3558048894949453</v>
      </c>
    </row>
    <row r="160" spans="2:4">
      <c r="B160" s="38">
        <v>46149</v>
      </c>
      <c r="C160" s="39">
        <v>1.58</v>
      </c>
      <c r="D160" s="39">
        <v>8.0925882419192732</v>
      </c>
    </row>
    <row r="161" spans="2:4">
      <c r="B161" s="38">
        <v>46150</v>
      </c>
      <c r="C161" s="39">
        <v>1.7</v>
      </c>
      <c r="D161" s="39">
        <v>9.0054106568632832</v>
      </c>
    </row>
    <row r="162" spans="2:4">
      <c r="B162" s="38">
        <v>46151</v>
      </c>
      <c r="C162" s="39">
        <v>1.61</v>
      </c>
      <c r="D162" s="39">
        <v>8.3179034639865019</v>
      </c>
    </row>
    <row r="163" spans="2:4">
      <c r="B163" s="38">
        <v>46152</v>
      </c>
      <c r="C163" s="39">
        <v>1.49</v>
      </c>
      <c r="D163" s="39">
        <v>7.4284815423182478</v>
      </c>
    </row>
    <row r="164" spans="2:4">
      <c r="B164" s="38">
        <v>46153</v>
      </c>
      <c r="C164" s="39">
        <v>1.48</v>
      </c>
      <c r="D164" s="39">
        <v>7.3558048894949453</v>
      </c>
    </row>
    <row r="165" spans="2:4">
      <c r="B165" s="38">
        <v>46154</v>
      </c>
      <c r="C165" s="39">
        <v>1.47</v>
      </c>
      <c r="D165" s="39">
        <v>7.2833537742078773</v>
      </c>
    </row>
    <row r="166" spans="2:4">
      <c r="B166" s="38">
        <v>46155</v>
      </c>
      <c r="C166" s="39">
        <v>1.46</v>
      </c>
      <c r="D166" s="39">
        <v>7.2111290236800309</v>
      </c>
    </row>
    <row r="167" spans="2:4">
      <c r="B167" s="38">
        <v>46156</v>
      </c>
      <c r="C167" s="39">
        <v>1.49</v>
      </c>
      <c r="D167" s="39">
        <v>7.4284815423182478</v>
      </c>
    </row>
    <row r="168" spans="2:4">
      <c r="B168" s="38">
        <v>46157</v>
      </c>
      <c r="C168" s="39">
        <v>1.48</v>
      </c>
      <c r="D168" s="39">
        <v>7.3558048894949453</v>
      </c>
    </row>
    <row r="169" spans="2:4">
      <c r="B169" s="38">
        <v>46158</v>
      </c>
      <c r="C169" s="39">
        <v>1.45</v>
      </c>
      <c r="D169" s="39">
        <v>7.1391314738463816</v>
      </c>
    </row>
    <row r="170" spans="2:4">
      <c r="B170" s="38">
        <v>46159</v>
      </c>
      <c r="C170" s="39">
        <v>1.44</v>
      </c>
      <c r="D170" s="39">
        <v>7.0673619695062655</v>
      </c>
    </row>
    <row r="171" spans="2:4">
      <c r="B171" s="38">
        <v>46160</v>
      </c>
      <c r="C171" s="39">
        <v>1.43</v>
      </c>
      <c r="D171" s="39">
        <v>6.9958213644794993</v>
      </c>
    </row>
    <row r="172" spans="2:4">
      <c r="B172" s="38">
        <v>46161</v>
      </c>
      <c r="C172" s="39">
        <v>1.41</v>
      </c>
      <c r="D172" s="39">
        <v>6.8534303137114767</v>
      </c>
    </row>
    <row r="173" spans="2:4">
      <c r="B173" s="38">
        <v>46162</v>
      </c>
      <c r="C173" s="39">
        <v>1.39</v>
      </c>
      <c r="D173" s="39">
        <v>6.7119653386898879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B82E9-9EDF-404F-AD8A-0EAA33B11871}">
  <dimension ref="B1:E173"/>
  <sheetViews>
    <sheetView workbookViewId="0">
      <selection sqref="A1:XFD1048576"/>
    </sheetView>
  </sheetViews>
  <sheetFormatPr defaultRowHeight="14.5"/>
  <cols>
    <col min="1" max="1" width="8.7265625" style="1"/>
    <col min="2" max="2" width="9.90625" style="1" customWidth="1"/>
    <col min="3" max="16384" width="8.7265625" style="1"/>
  </cols>
  <sheetData>
    <row r="1" spans="2:5" ht="15" thickBot="1"/>
    <row r="2" spans="2:5" ht="29.5" thickBot="1">
      <c r="B2" s="25" t="s">
        <v>5</v>
      </c>
      <c r="C2" s="26" t="s">
        <v>6</v>
      </c>
      <c r="D2" s="27" t="s">
        <v>7</v>
      </c>
      <c r="E2" s="28"/>
    </row>
    <row r="3" spans="2:5">
      <c r="B3" s="29">
        <v>45992</v>
      </c>
      <c r="C3" s="30">
        <v>0.66</v>
      </c>
      <c r="D3" s="30">
        <v>5.2359346235132307</v>
      </c>
    </row>
    <row r="4" spans="2:5">
      <c r="B4" s="29">
        <v>45993</v>
      </c>
      <c r="C4" s="30">
        <v>0.96</v>
      </c>
      <c r="D4" s="30">
        <v>18.029940644455898</v>
      </c>
    </row>
    <row r="5" spans="2:5">
      <c r="B5" s="29">
        <v>45994</v>
      </c>
      <c r="C5" s="30">
        <v>0.9</v>
      </c>
      <c r="D5" s="30">
        <v>14.571340577509167</v>
      </c>
    </row>
    <row r="6" spans="2:5">
      <c r="B6" s="29">
        <v>45995</v>
      </c>
      <c r="C6" s="30">
        <v>0.81</v>
      </c>
      <c r="D6" s="30">
        <v>10.292000301782124</v>
      </c>
    </row>
    <row r="7" spans="2:5">
      <c r="B7" s="29">
        <v>45996</v>
      </c>
      <c r="C7" s="31">
        <v>0</v>
      </c>
      <c r="D7" s="31">
        <v>0</v>
      </c>
      <c r="E7" s="1" t="s">
        <v>8</v>
      </c>
    </row>
    <row r="8" spans="2:5">
      <c r="B8" s="29">
        <v>45997</v>
      </c>
      <c r="C8" s="31">
        <v>0</v>
      </c>
      <c r="D8" s="31">
        <v>0</v>
      </c>
    </row>
    <row r="9" spans="2:5">
      <c r="B9" s="29">
        <v>45998</v>
      </c>
      <c r="C9" s="31">
        <v>0</v>
      </c>
      <c r="D9" s="31">
        <v>0</v>
      </c>
    </row>
    <row r="10" spans="2:5">
      <c r="B10" s="29">
        <v>45999</v>
      </c>
      <c r="C10" s="31">
        <v>0</v>
      </c>
      <c r="D10" s="31">
        <v>0</v>
      </c>
    </row>
    <row r="11" spans="2:5">
      <c r="B11" s="29">
        <v>46000</v>
      </c>
      <c r="C11" s="31">
        <v>0</v>
      </c>
      <c r="D11" s="31">
        <v>0</v>
      </c>
    </row>
    <row r="12" spans="2:5">
      <c r="B12" s="29">
        <v>46001</v>
      </c>
      <c r="C12" s="30">
        <v>0.63</v>
      </c>
      <c r="D12" s="30">
        <v>4.4907930429120517</v>
      </c>
    </row>
    <row r="13" spans="2:5">
      <c r="B13" s="29">
        <v>46002</v>
      </c>
      <c r="C13" s="30">
        <v>0.71</v>
      </c>
      <c r="D13" s="30">
        <v>6.66272331786287</v>
      </c>
    </row>
    <row r="14" spans="2:5">
      <c r="B14" s="29">
        <v>46003</v>
      </c>
      <c r="C14" s="30">
        <v>0.64</v>
      </c>
      <c r="D14" s="30">
        <v>4.7303485471745281</v>
      </c>
    </row>
    <row r="15" spans="2:5">
      <c r="B15" s="29">
        <v>46004</v>
      </c>
      <c r="C15" s="30">
        <v>0.6</v>
      </c>
      <c r="D15" s="30">
        <v>3.8229476785549217</v>
      </c>
    </row>
    <row r="16" spans="2:5">
      <c r="B16" s="29">
        <v>46005</v>
      </c>
      <c r="C16" s="30">
        <v>0.43</v>
      </c>
      <c r="D16" s="30">
        <v>1.5474230531039868</v>
      </c>
    </row>
    <row r="17" spans="2:4">
      <c r="B17" s="29">
        <v>46006</v>
      </c>
      <c r="C17" s="30">
        <v>0.6</v>
      </c>
      <c r="D17" s="30">
        <v>3.8229476785549217</v>
      </c>
    </row>
    <row r="18" spans="2:4">
      <c r="B18" s="29">
        <v>46007</v>
      </c>
      <c r="C18" s="30">
        <v>0.47</v>
      </c>
      <c r="D18" s="30">
        <v>1.7077416052951473</v>
      </c>
    </row>
    <row r="19" spans="2:4">
      <c r="B19" s="29">
        <v>46008</v>
      </c>
      <c r="C19" s="30">
        <v>0.21</v>
      </c>
      <c r="D19" s="30">
        <v>0.68357318688832969</v>
      </c>
    </row>
    <row r="20" spans="2:4">
      <c r="B20" s="29">
        <v>46009</v>
      </c>
      <c r="C20" s="31">
        <v>0</v>
      </c>
      <c r="D20" s="31">
        <v>0</v>
      </c>
    </row>
    <row r="21" spans="2:4">
      <c r="B21" s="29">
        <v>46010</v>
      </c>
      <c r="C21" s="31">
        <v>0</v>
      </c>
      <c r="D21" s="31">
        <v>0</v>
      </c>
    </row>
    <row r="22" spans="2:4">
      <c r="B22" s="29">
        <v>46011</v>
      </c>
      <c r="C22" s="31">
        <v>0</v>
      </c>
      <c r="D22" s="31">
        <v>0</v>
      </c>
    </row>
    <row r="23" spans="2:4">
      <c r="B23" s="29">
        <v>46012</v>
      </c>
      <c r="C23" s="31">
        <v>0</v>
      </c>
      <c r="D23" s="31">
        <v>0</v>
      </c>
    </row>
    <row r="24" spans="2:4">
      <c r="B24" s="29">
        <v>46013</v>
      </c>
      <c r="C24" s="31">
        <v>0</v>
      </c>
      <c r="D24" s="31">
        <v>0</v>
      </c>
    </row>
    <row r="25" spans="2:4">
      <c r="B25" s="29">
        <v>46014</v>
      </c>
      <c r="C25" s="31">
        <v>0</v>
      </c>
      <c r="D25" s="31">
        <v>0</v>
      </c>
    </row>
    <row r="26" spans="2:4">
      <c r="B26" s="29">
        <v>46015</v>
      </c>
      <c r="C26" s="31">
        <v>0</v>
      </c>
      <c r="D26" s="31">
        <v>0</v>
      </c>
    </row>
    <row r="27" spans="2:4">
      <c r="B27" s="29">
        <v>46016</v>
      </c>
      <c r="C27" s="31">
        <v>0</v>
      </c>
      <c r="D27" s="31">
        <v>0</v>
      </c>
    </row>
    <row r="28" spans="2:4">
      <c r="B28" s="29">
        <v>46017</v>
      </c>
      <c r="C28" s="31">
        <v>0</v>
      </c>
      <c r="D28" s="31">
        <v>0</v>
      </c>
    </row>
    <row r="29" spans="2:4">
      <c r="B29" s="29">
        <v>46018</v>
      </c>
      <c r="C29" s="31">
        <v>0</v>
      </c>
      <c r="D29" s="31">
        <v>0</v>
      </c>
    </row>
    <row r="30" spans="2:4">
      <c r="B30" s="29">
        <v>46019</v>
      </c>
      <c r="C30" s="31">
        <v>0</v>
      </c>
      <c r="D30" s="31">
        <v>0</v>
      </c>
    </row>
    <row r="31" spans="2:4">
      <c r="B31" s="29">
        <v>46020</v>
      </c>
      <c r="C31" s="31">
        <v>0</v>
      </c>
      <c r="D31" s="31">
        <v>0</v>
      </c>
    </row>
    <row r="32" spans="2:4">
      <c r="B32" s="29">
        <v>46021</v>
      </c>
      <c r="C32" s="31">
        <v>0</v>
      </c>
      <c r="D32" s="31">
        <v>0</v>
      </c>
    </row>
    <row r="33" spans="2:4">
      <c r="B33" s="29">
        <v>46022</v>
      </c>
      <c r="C33" s="31">
        <v>0</v>
      </c>
      <c r="D33" s="31">
        <v>0</v>
      </c>
    </row>
    <row r="34" spans="2:4">
      <c r="B34" s="29">
        <v>46023</v>
      </c>
      <c r="C34" s="31">
        <v>0</v>
      </c>
      <c r="D34" s="31">
        <v>0</v>
      </c>
    </row>
    <row r="35" spans="2:4">
      <c r="B35" s="29">
        <v>46024</v>
      </c>
      <c r="C35" s="30">
        <v>1.18</v>
      </c>
      <c r="D35" s="30">
        <v>35.621307142543252</v>
      </c>
    </row>
    <row r="36" spans="2:4">
      <c r="B36" s="29">
        <v>46025</v>
      </c>
      <c r="C36" s="30">
        <v>1.07</v>
      </c>
      <c r="D36" s="30">
        <v>25.790852300171633</v>
      </c>
    </row>
    <row r="37" spans="2:4">
      <c r="B37" s="29">
        <v>46026</v>
      </c>
      <c r="C37" s="30">
        <v>1</v>
      </c>
      <c r="D37" s="30">
        <v>20.63</v>
      </c>
    </row>
    <row r="38" spans="2:4">
      <c r="B38" s="29">
        <v>46027</v>
      </c>
      <c r="C38" s="30">
        <v>0.96</v>
      </c>
      <c r="D38" s="30">
        <v>18.029940644455898</v>
      </c>
    </row>
    <row r="39" spans="2:4">
      <c r="B39" s="29">
        <v>46028</v>
      </c>
      <c r="C39" s="30">
        <v>0.97</v>
      </c>
      <c r="D39" s="30">
        <v>18.657177831792293</v>
      </c>
    </row>
    <row r="40" spans="2:4">
      <c r="B40" s="29">
        <v>46029</v>
      </c>
      <c r="C40" s="30">
        <v>0.87</v>
      </c>
      <c r="D40" s="30">
        <v>13.02905032671767</v>
      </c>
    </row>
    <row r="41" spans="2:4">
      <c r="B41" s="29">
        <v>46030</v>
      </c>
      <c r="C41" s="30">
        <v>0.8</v>
      </c>
      <c r="D41" s="30">
        <v>9.8786178450333093</v>
      </c>
    </row>
    <row r="42" spans="2:4">
      <c r="B42" s="29">
        <v>46031</v>
      </c>
      <c r="C42" s="30">
        <v>0.77</v>
      </c>
      <c r="D42" s="30">
        <v>8.708004023683106</v>
      </c>
    </row>
    <row r="43" spans="2:4">
      <c r="B43" s="29">
        <v>46032</v>
      </c>
      <c r="C43" s="30">
        <v>0.74</v>
      </c>
      <c r="D43" s="30">
        <v>7.6377229907488333</v>
      </c>
    </row>
    <row r="44" spans="2:4">
      <c r="B44" s="29">
        <v>46033</v>
      </c>
      <c r="C44" s="30">
        <v>0.86</v>
      </c>
      <c r="D44" s="30">
        <v>12.541345059289801</v>
      </c>
    </row>
    <row r="45" spans="2:4">
      <c r="B45" s="29">
        <v>46034</v>
      </c>
      <c r="C45" s="30">
        <v>1.05</v>
      </c>
      <c r="D45" s="30">
        <v>24.233933672431409</v>
      </c>
    </row>
    <row r="46" spans="2:4">
      <c r="B46" s="29">
        <v>46035</v>
      </c>
      <c r="C46" s="30">
        <v>1</v>
      </c>
      <c r="D46" s="30">
        <v>20.63</v>
      </c>
    </row>
    <row r="47" spans="2:4">
      <c r="B47" s="29">
        <v>46036</v>
      </c>
      <c r="C47" s="30">
        <v>0.9</v>
      </c>
      <c r="D47" s="30">
        <v>14.571340577509167</v>
      </c>
    </row>
    <row r="48" spans="2:4">
      <c r="B48" s="29">
        <v>46037</v>
      </c>
      <c r="C48" s="30">
        <v>0.85</v>
      </c>
      <c r="D48" s="30">
        <v>12.066510157909436</v>
      </c>
    </row>
    <row r="49" spans="2:4">
      <c r="B49" s="29">
        <v>46038</v>
      </c>
      <c r="C49" s="30">
        <v>0.99</v>
      </c>
      <c r="D49" s="30">
        <v>19.957005184445247</v>
      </c>
    </row>
    <row r="50" spans="2:4">
      <c r="B50" s="29">
        <v>46039</v>
      </c>
      <c r="C50" s="30">
        <v>1.07</v>
      </c>
      <c r="D50" s="30">
        <v>25.790852300171633</v>
      </c>
    </row>
    <row r="51" spans="2:4">
      <c r="B51" s="29">
        <v>46040</v>
      </c>
      <c r="C51" s="30">
        <v>1.04</v>
      </c>
      <c r="D51" s="30">
        <v>23.480603103968594</v>
      </c>
    </row>
    <row r="52" spans="2:4">
      <c r="B52" s="29">
        <v>46041</v>
      </c>
      <c r="C52" s="30">
        <v>1.04</v>
      </c>
      <c r="D52" s="30">
        <v>23.480603103968594</v>
      </c>
    </row>
    <row r="53" spans="2:4">
      <c r="B53" s="29">
        <v>46042</v>
      </c>
      <c r="C53" s="30">
        <v>1.02</v>
      </c>
      <c r="D53" s="30">
        <v>22.023168154258915</v>
      </c>
    </row>
    <row r="54" spans="2:4">
      <c r="B54" s="29">
        <v>46043</v>
      </c>
      <c r="C54" s="30">
        <v>0.99</v>
      </c>
      <c r="D54" s="30">
        <v>19.957005184445247</v>
      </c>
    </row>
    <row r="55" spans="2:4">
      <c r="B55" s="29">
        <v>46044</v>
      </c>
      <c r="C55" s="30">
        <v>0.95</v>
      </c>
      <c r="D55" s="30">
        <v>17.417552386381871</v>
      </c>
    </row>
    <row r="56" spans="2:4">
      <c r="B56" s="29">
        <v>46045</v>
      </c>
      <c r="C56" s="31">
        <v>0</v>
      </c>
      <c r="D56" s="31">
        <v>0</v>
      </c>
    </row>
    <row r="57" spans="2:4">
      <c r="B57" s="29">
        <v>46046</v>
      </c>
      <c r="C57" s="31">
        <v>0</v>
      </c>
      <c r="D57" s="31">
        <v>0</v>
      </c>
    </row>
    <row r="58" spans="2:4">
      <c r="B58" s="29">
        <v>46047</v>
      </c>
      <c r="C58" s="31">
        <v>0</v>
      </c>
      <c r="D58" s="31">
        <v>0</v>
      </c>
    </row>
    <row r="59" spans="2:4">
      <c r="B59" s="29">
        <v>46048</v>
      </c>
      <c r="C59" s="30">
        <v>0.77</v>
      </c>
      <c r="D59" s="30">
        <v>8.708004023683106</v>
      </c>
    </row>
    <row r="60" spans="2:4">
      <c r="B60" s="29">
        <v>46049</v>
      </c>
      <c r="C60" s="30">
        <v>0.77</v>
      </c>
      <c r="D60" s="30">
        <v>8.708004023683106</v>
      </c>
    </row>
    <row r="61" spans="2:4">
      <c r="B61" s="29">
        <v>46050</v>
      </c>
      <c r="C61" s="30">
        <v>0.74</v>
      </c>
      <c r="D61" s="30">
        <v>7.6377229907488333</v>
      </c>
    </row>
    <row r="62" spans="2:4">
      <c r="B62" s="29">
        <v>46051</v>
      </c>
      <c r="C62" s="30">
        <v>0.74</v>
      </c>
      <c r="D62" s="30">
        <v>7.6377229907488333</v>
      </c>
    </row>
    <row r="63" spans="2:4">
      <c r="B63" s="29">
        <v>46052</v>
      </c>
      <c r="C63" s="30">
        <v>0.7</v>
      </c>
      <c r="D63" s="30">
        <v>6.3580327412203275</v>
      </c>
    </row>
    <row r="64" spans="2:4">
      <c r="B64" s="29">
        <v>46053</v>
      </c>
      <c r="C64" s="30">
        <v>0.68</v>
      </c>
      <c r="D64" s="30">
        <v>5.778014666660197</v>
      </c>
    </row>
    <row r="65" spans="2:4">
      <c r="B65" s="29">
        <v>46054</v>
      </c>
      <c r="C65" s="30">
        <v>0.68</v>
      </c>
      <c r="D65" s="30">
        <v>5.778014666660197</v>
      </c>
    </row>
    <row r="66" spans="2:4">
      <c r="B66" s="29">
        <v>46055</v>
      </c>
      <c r="C66" s="30">
        <v>0.72</v>
      </c>
      <c r="D66" s="30">
        <v>6.9774457127988354</v>
      </c>
    </row>
    <row r="67" spans="2:4">
      <c r="B67" s="29">
        <v>46056</v>
      </c>
      <c r="C67" s="30">
        <v>0.69</v>
      </c>
      <c r="D67" s="30">
        <v>6.0631906928601289</v>
      </c>
    </row>
    <row r="68" spans="2:4">
      <c r="B68" s="29">
        <v>46057</v>
      </c>
      <c r="C68" s="30">
        <v>0.63</v>
      </c>
      <c r="D68" s="30">
        <v>4.4907930429120517</v>
      </c>
    </row>
    <row r="69" spans="2:4">
      <c r="B69" s="29">
        <v>46058</v>
      </c>
      <c r="C69" s="30">
        <v>0.55000000000000004</v>
      </c>
      <c r="D69" s="30">
        <v>2.8687724617202393</v>
      </c>
    </row>
    <row r="70" spans="2:4">
      <c r="B70" s="29">
        <v>46059</v>
      </c>
      <c r="C70" s="30">
        <v>0.55000000000000004</v>
      </c>
      <c r="D70" s="30">
        <v>2.8687724617202393</v>
      </c>
    </row>
    <row r="71" spans="2:4">
      <c r="B71" s="29">
        <v>46060</v>
      </c>
      <c r="C71" s="30">
        <v>0.49</v>
      </c>
      <c r="D71" s="30">
        <v>1.9595046213489911</v>
      </c>
    </row>
    <row r="72" spans="2:4">
      <c r="B72" s="29">
        <v>46061</v>
      </c>
      <c r="C72" s="30">
        <v>0.26</v>
      </c>
      <c r="D72" s="30">
        <v>0.87201637414216537</v>
      </c>
    </row>
    <row r="73" spans="2:4">
      <c r="B73" s="29">
        <v>46062</v>
      </c>
      <c r="C73" s="30">
        <v>0.05</v>
      </c>
      <c r="D73" s="30">
        <v>0.13313150089014791</v>
      </c>
    </row>
    <row r="74" spans="2:4">
      <c r="B74" s="29">
        <v>46063</v>
      </c>
      <c r="C74" s="31">
        <v>0</v>
      </c>
      <c r="D74" s="31">
        <v>0</v>
      </c>
    </row>
    <row r="75" spans="2:4">
      <c r="B75" s="29">
        <v>46064</v>
      </c>
      <c r="C75" s="31">
        <v>0</v>
      </c>
      <c r="D75" s="31">
        <v>0</v>
      </c>
    </row>
    <row r="76" spans="2:4">
      <c r="B76" s="29">
        <v>46065</v>
      </c>
      <c r="C76" s="31">
        <v>0</v>
      </c>
      <c r="D76" s="31">
        <v>0</v>
      </c>
    </row>
    <row r="77" spans="2:4">
      <c r="B77" s="29">
        <v>46066</v>
      </c>
      <c r="C77" s="31">
        <v>0</v>
      </c>
      <c r="D77" s="31">
        <v>0</v>
      </c>
    </row>
    <row r="78" spans="2:4">
      <c r="B78" s="29">
        <v>46067</v>
      </c>
      <c r="C78" s="30">
        <v>0.62</v>
      </c>
      <c r="D78" s="30">
        <v>4.2598254444956689</v>
      </c>
    </row>
    <row r="79" spans="2:4">
      <c r="B79" s="29">
        <v>46068</v>
      </c>
      <c r="C79" s="30">
        <v>0.77</v>
      </c>
      <c r="D79" s="30">
        <v>8.708004023683106</v>
      </c>
    </row>
    <row r="80" spans="2:4">
      <c r="B80" s="29">
        <v>46069</v>
      </c>
      <c r="C80" s="30">
        <v>0.9</v>
      </c>
      <c r="D80" s="30">
        <v>14.571340577509167</v>
      </c>
    </row>
    <row r="81" spans="2:4">
      <c r="B81" s="29">
        <v>46070</v>
      </c>
      <c r="C81" s="30">
        <v>0.72</v>
      </c>
      <c r="D81" s="30">
        <v>6.9774457127988354</v>
      </c>
    </row>
    <row r="82" spans="2:4">
      <c r="B82" s="29">
        <v>46071</v>
      </c>
      <c r="C82" s="30">
        <v>0.66</v>
      </c>
      <c r="D82" s="30">
        <v>5.2359346235132307</v>
      </c>
    </row>
    <row r="83" spans="2:4">
      <c r="B83" s="29">
        <v>46072</v>
      </c>
      <c r="C83" s="30">
        <v>0.62</v>
      </c>
      <c r="D83" s="30">
        <v>4.2598254444956689</v>
      </c>
    </row>
    <row r="84" spans="2:4">
      <c r="B84" s="29">
        <v>46073</v>
      </c>
      <c r="C84" s="30">
        <v>0.5</v>
      </c>
      <c r="D84" s="30">
        <v>2.0945958671036427</v>
      </c>
    </row>
    <row r="85" spans="2:4">
      <c r="B85" s="29">
        <v>46074</v>
      </c>
      <c r="C85" s="30">
        <v>0.35</v>
      </c>
      <c r="D85" s="30">
        <v>1.2237496871206615</v>
      </c>
    </row>
    <row r="86" spans="2:4">
      <c r="B86" s="29">
        <v>46075</v>
      </c>
      <c r="C86" s="30">
        <v>0.64</v>
      </c>
      <c r="D86" s="30">
        <v>4.7303485471745281</v>
      </c>
    </row>
    <row r="87" spans="2:4">
      <c r="B87" s="29">
        <v>46076</v>
      </c>
      <c r="C87" s="30">
        <v>0.45</v>
      </c>
      <c r="D87" s="30">
        <v>1.4794507877755845</v>
      </c>
    </row>
    <row r="88" spans="2:4">
      <c r="B88" s="29">
        <v>46077</v>
      </c>
      <c r="C88" s="30">
        <v>0.61</v>
      </c>
      <c r="D88" s="30">
        <v>4.0372689669132242</v>
      </c>
    </row>
    <row r="89" spans="2:4">
      <c r="B89" s="29">
        <v>46078</v>
      </c>
      <c r="C89" s="30">
        <v>0.44</v>
      </c>
      <c r="D89" s="30">
        <v>1.5885141012269794</v>
      </c>
    </row>
    <row r="90" spans="2:4">
      <c r="B90" s="29">
        <v>46079</v>
      </c>
      <c r="C90" s="30">
        <v>0.19</v>
      </c>
      <c r="D90" s="30">
        <v>0.60986558737648311</v>
      </c>
    </row>
    <row r="91" spans="2:4">
      <c r="B91" s="29">
        <v>46080</v>
      </c>
      <c r="C91" s="30">
        <v>0.03</v>
      </c>
      <c r="D91" s="30">
        <v>7.4365799882514502E-2</v>
      </c>
    </row>
    <row r="92" spans="2:4">
      <c r="B92" s="29">
        <v>46081</v>
      </c>
      <c r="C92" s="30">
        <v>0</v>
      </c>
      <c r="D92" s="30">
        <v>0</v>
      </c>
    </row>
    <row r="93" spans="2:4">
      <c r="B93" s="29">
        <v>46082</v>
      </c>
      <c r="C93" s="30">
        <v>0</v>
      </c>
      <c r="D93" s="30">
        <v>0</v>
      </c>
    </row>
    <row r="94" spans="2:4">
      <c r="B94" s="29">
        <v>46083</v>
      </c>
      <c r="C94" s="30">
        <v>0</v>
      </c>
      <c r="D94" s="30">
        <v>0</v>
      </c>
    </row>
    <row r="95" spans="2:4">
      <c r="B95" s="29">
        <v>46084</v>
      </c>
      <c r="C95" s="30">
        <v>0.05</v>
      </c>
      <c r="D95" s="30">
        <v>0.13313150089014791</v>
      </c>
    </row>
    <row r="96" spans="2:4">
      <c r="B96" s="29">
        <v>46085</v>
      </c>
      <c r="C96" s="30">
        <v>0.03</v>
      </c>
      <c r="D96" s="30">
        <v>7.4365799882514502E-2</v>
      </c>
    </row>
    <row r="97" spans="2:4">
      <c r="B97" s="29">
        <v>46086</v>
      </c>
      <c r="C97" s="30">
        <v>0.08</v>
      </c>
      <c r="D97" s="30">
        <v>0.22749801329625807</v>
      </c>
    </row>
    <row r="98" spans="2:4">
      <c r="B98" s="29">
        <v>46087</v>
      </c>
      <c r="C98" s="30">
        <v>0.5</v>
      </c>
      <c r="D98" s="30">
        <v>2.0945958671036427</v>
      </c>
    </row>
    <row r="99" spans="2:4">
      <c r="B99" s="29">
        <v>46088</v>
      </c>
      <c r="C99" s="30">
        <v>0.34</v>
      </c>
      <c r="D99" s="30">
        <v>1.1839707919003519</v>
      </c>
    </row>
    <row r="100" spans="2:4">
      <c r="B100" s="29">
        <v>46089</v>
      </c>
      <c r="C100" s="30">
        <v>0.16</v>
      </c>
      <c r="D100" s="30">
        <v>0.50136244940582408</v>
      </c>
    </row>
    <row r="101" spans="2:4">
      <c r="B101" s="29">
        <v>46090</v>
      </c>
      <c r="C101" s="30">
        <v>7.0000000000000007E-2</v>
      </c>
      <c r="D101" s="30">
        <v>0.19537400930582027</v>
      </c>
    </row>
    <row r="102" spans="2:4">
      <c r="B102" s="29">
        <v>46091</v>
      </c>
      <c r="C102" s="30">
        <v>7.0000000000000007E-2</v>
      </c>
      <c r="D102" s="30">
        <v>0.19537400930582027</v>
      </c>
    </row>
    <row r="103" spans="2:4">
      <c r="B103" s="29">
        <v>46092</v>
      </c>
      <c r="C103" s="30">
        <v>0</v>
      </c>
      <c r="D103" s="30">
        <v>0</v>
      </c>
    </row>
    <row r="104" spans="2:4">
      <c r="B104" s="29">
        <v>46093</v>
      </c>
      <c r="C104" s="30">
        <v>0</v>
      </c>
      <c r="D104" s="30">
        <v>0</v>
      </c>
    </row>
    <row r="105" spans="2:4">
      <c r="B105" s="29">
        <v>46094</v>
      </c>
      <c r="C105" s="30">
        <v>0.68</v>
      </c>
      <c r="D105" s="30">
        <v>5.778014666660197</v>
      </c>
    </row>
    <row r="106" spans="2:4">
      <c r="B106" s="29">
        <v>46095</v>
      </c>
      <c r="C106" s="30">
        <v>0.69</v>
      </c>
      <c r="D106" s="30">
        <v>6.0631906928601289</v>
      </c>
    </row>
    <row r="107" spans="2:4">
      <c r="B107" s="29">
        <v>46096</v>
      </c>
      <c r="C107" s="30">
        <v>0.66</v>
      </c>
      <c r="D107" s="30">
        <v>5.2359346235132307</v>
      </c>
    </row>
    <row r="108" spans="2:4">
      <c r="B108" s="29">
        <v>46097</v>
      </c>
      <c r="C108" s="30">
        <v>1.05</v>
      </c>
      <c r="D108" s="30">
        <v>24.233933672431409</v>
      </c>
    </row>
    <row r="109" spans="2:4">
      <c r="B109" s="29">
        <v>46098</v>
      </c>
      <c r="C109" s="30">
        <v>0.98</v>
      </c>
      <c r="D109" s="30">
        <v>19.299465339978841</v>
      </c>
    </row>
    <row r="110" spans="2:4">
      <c r="B110" s="29">
        <v>46099</v>
      </c>
      <c r="C110" s="30">
        <v>0.98</v>
      </c>
      <c r="D110" s="30">
        <v>19.299465339978841</v>
      </c>
    </row>
    <row r="111" spans="2:4">
      <c r="B111" s="29">
        <v>46100</v>
      </c>
      <c r="C111" s="30">
        <v>0.98</v>
      </c>
      <c r="D111" s="30">
        <v>19.299465339978841</v>
      </c>
    </row>
    <row r="112" spans="2:4">
      <c r="B112" s="29">
        <v>46101</v>
      </c>
      <c r="C112" s="30">
        <v>0.88</v>
      </c>
      <c r="D112" s="30">
        <v>13.529820849344501</v>
      </c>
    </row>
    <row r="113" spans="2:4">
      <c r="B113" s="29">
        <v>46102</v>
      </c>
      <c r="C113" s="30">
        <v>0.77</v>
      </c>
      <c r="D113" s="30">
        <v>8.708004023683106</v>
      </c>
    </row>
    <row r="114" spans="2:4">
      <c r="B114" s="29">
        <v>46103</v>
      </c>
      <c r="C114" s="30">
        <v>0.77</v>
      </c>
      <c r="D114" s="30">
        <v>8.708004023683106</v>
      </c>
    </row>
    <row r="115" spans="2:4">
      <c r="B115" s="29">
        <v>46104</v>
      </c>
      <c r="C115" s="30">
        <v>0.93</v>
      </c>
      <c r="D115" s="30">
        <v>16.23652023821283</v>
      </c>
    </row>
    <row r="116" spans="2:4">
      <c r="B116" s="29">
        <v>46105</v>
      </c>
      <c r="C116" s="30">
        <v>0.93</v>
      </c>
      <c r="D116" s="30">
        <v>16.23652023821283</v>
      </c>
    </row>
    <row r="117" spans="2:4">
      <c r="B117" s="29">
        <v>46106</v>
      </c>
      <c r="C117" s="30">
        <v>1.1000000000000001</v>
      </c>
      <c r="D117" s="30">
        <v>28.254985515236928</v>
      </c>
    </row>
    <row r="118" spans="2:4">
      <c r="B118" s="29">
        <v>46107</v>
      </c>
      <c r="C118" s="30">
        <v>1.02</v>
      </c>
      <c r="D118" s="30">
        <v>22.023168154258915</v>
      </c>
    </row>
    <row r="119" spans="2:4">
      <c r="B119" s="32">
        <v>46108</v>
      </c>
      <c r="C119" s="33">
        <v>0.98</v>
      </c>
      <c r="D119" s="34">
        <v>19.299465339978841</v>
      </c>
    </row>
    <row r="120" spans="2:4">
      <c r="B120" s="29">
        <v>46109</v>
      </c>
      <c r="C120" s="33">
        <v>0.92</v>
      </c>
      <c r="D120" s="34">
        <v>15.667476725438389</v>
      </c>
    </row>
    <row r="121" spans="2:4">
      <c r="B121" s="29">
        <v>46110</v>
      </c>
      <c r="C121" s="33">
        <v>0.86</v>
      </c>
      <c r="D121" s="34">
        <v>12.541345059289801</v>
      </c>
    </row>
    <row r="122" spans="2:4">
      <c r="B122" s="29">
        <v>46111</v>
      </c>
      <c r="C122" s="33">
        <v>0.94</v>
      </c>
      <c r="D122" s="34">
        <v>16.819812294366397</v>
      </c>
    </row>
    <row r="123" spans="2:4">
      <c r="B123" s="29">
        <v>46112</v>
      </c>
      <c r="C123" s="33">
        <v>0.84</v>
      </c>
      <c r="D123" s="34">
        <v>11.604351412110246</v>
      </c>
    </row>
    <row r="124" spans="2:4">
      <c r="B124" s="29">
        <v>46113</v>
      </c>
      <c r="C124" s="33">
        <v>0.79</v>
      </c>
      <c r="D124" s="34">
        <v>9.4769508711278405</v>
      </c>
    </row>
    <row r="125" spans="2:4">
      <c r="B125" s="29">
        <v>46114</v>
      </c>
      <c r="C125" s="33">
        <v>0.76</v>
      </c>
      <c r="D125" s="34">
        <v>8.3403462831272144</v>
      </c>
    </row>
    <row r="126" spans="2:4">
      <c r="B126" s="29">
        <v>46115</v>
      </c>
      <c r="C126" s="33">
        <v>0.74</v>
      </c>
      <c r="D126" s="34">
        <v>7.6377229907488333</v>
      </c>
    </row>
    <row r="127" spans="2:4">
      <c r="B127" s="29">
        <v>46116</v>
      </c>
      <c r="C127" s="33">
        <v>0.71</v>
      </c>
      <c r="D127" s="34">
        <v>6.66272331786287</v>
      </c>
    </row>
    <row r="128" spans="2:4">
      <c r="B128" s="29">
        <v>46117</v>
      </c>
      <c r="C128" s="33">
        <v>0.7</v>
      </c>
      <c r="D128" s="34">
        <v>6.3580327412203275</v>
      </c>
    </row>
    <row r="129" spans="2:4">
      <c r="B129" s="29">
        <v>46118</v>
      </c>
      <c r="C129" s="33">
        <v>0.68</v>
      </c>
      <c r="D129" s="34">
        <v>5.778014666660197</v>
      </c>
    </row>
    <row r="130" spans="2:4">
      <c r="B130" s="29">
        <v>46119</v>
      </c>
      <c r="C130" s="33">
        <v>0.69</v>
      </c>
      <c r="D130" s="34">
        <v>6.0631906928601289</v>
      </c>
    </row>
    <row r="131" spans="2:4">
      <c r="B131" s="29">
        <v>46120</v>
      </c>
      <c r="C131" s="33">
        <v>0.71</v>
      </c>
      <c r="D131" s="34">
        <v>6.66272331786287</v>
      </c>
    </row>
    <row r="132" spans="2:4">
      <c r="B132" s="29">
        <v>46121</v>
      </c>
      <c r="C132" s="33">
        <v>0.7</v>
      </c>
      <c r="D132" s="34">
        <v>6.3580327412203275</v>
      </c>
    </row>
    <row r="133" spans="2:4">
      <c r="B133" s="29">
        <v>46122</v>
      </c>
      <c r="C133" s="33">
        <v>0.68</v>
      </c>
      <c r="D133" s="34">
        <v>5.778014666660197</v>
      </c>
    </row>
    <row r="134" spans="2:4">
      <c r="B134" s="29">
        <v>46123</v>
      </c>
      <c r="C134" s="33">
        <v>0.65</v>
      </c>
      <c r="D134" s="34">
        <v>4.9786695861912609</v>
      </c>
    </row>
    <row r="135" spans="2:4">
      <c r="B135" s="29">
        <v>46124</v>
      </c>
      <c r="C135" s="33">
        <v>0.64</v>
      </c>
      <c r="D135" s="34">
        <v>4.7303485471745281</v>
      </c>
    </row>
    <row r="136" spans="2:4">
      <c r="B136" s="29">
        <v>46125</v>
      </c>
      <c r="C136" s="33">
        <v>0.65</v>
      </c>
      <c r="D136" s="34">
        <v>4.9786695861912609</v>
      </c>
    </row>
    <row r="137" spans="2:4">
      <c r="B137" s="29">
        <v>46126</v>
      </c>
      <c r="C137" s="33">
        <v>0.66</v>
      </c>
      <c r="D137" s="34">
        <v>5.2359346235132307</v>
      </c>
    </row>
    <row r="138" spans="2:4">
      <c r="B138" s="29">
        <v>46127</v>
      </c>
      <c r="C138" s="33">
        <v>0.66</v>
      </c>
      <c r="D138" s="34">
        <v>5.2359346235132307</v>
      </c>
    </row>
    <row r="139" spans="2:4">
      <c r="B139" s="29">
        <v>46128</v>
      </c>
      <c r="C139" s="33">
        <v>1.33</v>
      </c>
      <c r="D139" s="34">
        <v>52.870040509373666</v>
      </c>
    </row>
    <row r="140" spans="2:4">
      <c r="B140" s="29">
        <v>46129</v>
      </c>
      <c r="C140" s="33">
        <v>0.98</v>
      </c>
      <c r="D140" s="34">
        <v>19.299465339978841</v>
      </c>
    </row>
    <row r="141" spans="2:4">
      <c r="B141" s="29">
        <v>46130</v>
      </c>
      <c r="C141" s="33">
        <v>0.89</v>
      </c>
      <c r="D141" s="34">
        <v>14.043852189536352</v>
      </c>
    </row>
    <row r="142" spans="2:4">
      <c r="B142" s="29">
        <v>46131</v>
      </c>
      <c r="C142" s="33">
        <v>0.81</v>
      </c>
      <c r="D142" s="34">
        <v>10.292000301782124</v>
      </c>
    </row>
    <row r="143" spans="2:4">
      <c r="B143" s="29">
        <v>46132</v>
      </c>
      <c r="C143" s="33">
        <v>0.79</v>
      </c>
      <c r="D143" s="34">
        <v>9.4769508711278405</v>
      </c>
    </row>
    <row r="144" spans="2:4">
      <c r="B144" s="29">
        <v>46133</v>
      </c>
      <c r="C144" s="33">
        <v>0.76</v>
      </c>
      <c r="D144" s="34">
        <v>8.3403462831272144</v>
      </c>
    </row>
    <row r="145" spans="2:4">
      <c r="B145" s="29">
        <v>46134</v>
      </c>
      <c r="C145" s="33">
        <v>0.76</v>
      </c>
      <c r="D145" s="34">
        <v>8.3403462831272144</v>
      </c>
    </row>
    <row r="146" spans="2:4">
      <c r="B146" s="29">
        <v>46135</v>
      </c>
      <c r="C146" s="33">
        <v>0.76</v>
      </c>
      <c r="D146" s="34">
        <v>8.3403462831272144</v>
      </c>
    </row>
    <row r="147" spans="2:4">
      <c r="B147" s="29">
        <v>46136</v>
      </c>
      <c r="C147" s="33">
        <v>1</v>
      </c>
      <c r="D147" s="34">
        <v>20.63</v>
      </c>
    </row>
    <row r="148" spans="2:4">
      <c r="B148" s="29">
        <v>46137</v>
      </c>
      <c r="C148" s="33">
        <v>1.05</v>
      </c>
      <c r="D148" s="34">
        <v>24.233933672431409</v>
      </c>
    </row>
    <row r="149" spans="2:4">
      <c r="B149" s="29">
        <v>46138</v>
      </c>
      <c r="C149" s="33">
        <v>1</v>
      </c>
      <c r="D149" s="34">
        <v>20.63</v>
      </c>
    </row>
    <row r="150" spans="2:4">
      <c r="B150" s="29">
        <v>46139</v>
      </c>
      <c r="C150" s="33">
        <v>0.92</v>
      </c>
      <c r="D150" s="34">
        <v>15.667476725438389</v>
      </c>
    </row>
    <row r="151" spans="2:4">
      <c r="B151" s="29">
        <v>46140</v>
      </c>
      <c r="C151" s="33">
        <v>0.92</v>
      </c>
      <c r="D151" s="34">
        <v>15.667476725438389</v>
      </c>
    </row>
    <row r="152" spans="2:4">
      <c r="B152" s="29">
        <v>46141</v>
      </c>
      <c r="C152" s="33">
        <v>0.83</v>
      </c>
      <c r="D152" s="34">
        <v>11.154675295690847</v>
      </c>
    </row>
    <row r="153" spans="2:4">
      <c r="B153" s="29">
        <v>46142</v>
      </c>
      <c r="C153" s="33">
        <v>0.8</v>
      </c>
      <c r="D153" s="34">
        <v>9.8786178450333093</v>
      </c>
    </row>
    <row r="154" spans="2:4">
      <c r="B154" s="29">
        <v>46143</v>
      </c>
      <c r="C154" s="35">
        <v>0.77</v>
      </c>
      <c r="D154" s="35">
        <v>8.708004023683106</v>
      </c>
    </row>
    <row r="155" spans="2:4">
      <c r="B155" s="29">
        <v>46144</v>
      </c>
      <c r="C155" s="35">
        <v>0.75</v>
      </c>
      <c r="D155" s="35">
        <v>7.9836483044275663</v>
      </c>
    </row>
    <row r="156" spans="2:4">
      <c r="B156" s="29">
        <v>46145</v>
      </c>
      <c r="C156" s="35">
        <v>0.73</v>
      </c>
      <c r="D156" s="35">
        <v>7.302383992182496</v>
      </c>
    </row>
    <row r="157" spans="2:4">
      <c r="B157" s="29">
        <v>46146</v>
      </c>
      <c r="C157" s="35">
        <v>0.71</v>
      </c>
      <c r="D157" s="35">
        <v>6.66272331786287</v>
      </c>
    </row>
    <row r="158" spans="2:4">
      <c r="B158" s="29">
        <v>46147</v>
      </c>
      <c r="C158" s="35">
        <v>0.71</v>
      </c>
      <c r="D158" s="35">
        <v>6.66272331786287</v>
      </c>
    </row>
    <row r="159" spans="2:4">
      <c r="B159" s="29">
        <v>46148</v>
      </c>
      <c r="C159" s="35">
        <v>0.98</v>
      </c>
      <c r="D159" s="35">
        <v>19.299465339978841</v>
      </c>
    </row>
    <row r="160" spans="2:4">
      <c r="B160" s="29">
        <v>46149</v>
      </c>
      <c r="C160" s="35">
        <v>0.98</v>
      </c>
      <c r="D160" s="35">
        <v>19.299465339978841</v>
      </c>
    </row>
    <row r="161" spans="2:4">
      <c r="B161" s="29">
        <v>46150</v>
      </c>
      <c r="C161" s="35">
        <v>0.83</v>
      </c>
      <c r="D161" s="35">
        <v>11.154675295690847</v>
      </c>
    </row>
    <row r="162" spans="2:4">
      <c r="B162" s="29">
        <v>46151</v>
      </c>
      <c r="C162" s="35">
        <v>0.76</v>
      </c>
      <c r="D162" s="35">
        <v>8.3403462831272144</v>
      </c>
    </row>
    <row r="163" spans="2:4">
      <c r="B163" s="29">
        <v>46152</v>
      </c>
      <c r="C163" s="35">
        <v>0.73</v>
      </c>
      <c r="D163" s="35">
        <v>7.302383992182496</v>
      </c>
    </row>
    <row r="164" spans="2:4">
      <c r="B164" s="29">
        <v>46153</v>
      </c>
      <c r="C164" s="35">
        <v>0.71</v>
      </c>
      <c r="D164" s="35">
        <v>6.66272331786287</v>
      </c>
    </row>
    <row r="165" spans="2:4">
      <c r="B165" s="29">
        <v>46154</v>
      </c>
      <c r="C165" s="35">
        <v>0.71</v>
      </c>
      <c r="D165" s="35">
        <v>6.66272331786287</v>
      </c>
    </row>
    <row r="166" spans="2:4">
      <c r="B166" s="29">
        <v>46155</v>
      </c>
      <c r="C166" s="35">
        <v>0.67</v>
      </c>
      <c r="D166" s="35">
        <v>5.5023229483236777</v>
      </c>
    </row>
    <row r="167" spans="2:4">
      <c r="B167" s="29">
        <v>46156</v>
      </c>
      <c r="C167" s="35">
        <v>0.66</v>
      </c>
      <c r="D167" s="35">
        <v>5.2359346235132307</v>
      </c>
    </row>
    <row r="168" spans="2:4">
      <c r="B168" s="29">
        <v>46157</v>
      </c>
      <c r="C168" s="35">
        <v>0.66</v>
      </c>
      <c r="D168" s="35">
        <v>5.2359346235132307</v>
      </c>
    </row>
    <row r="169" spans="2:4">
      <c r="B169" s="29">
        <v>46158</v>
      </c>
      <c r="C169" s="35">
        <v>0.66</v>
      </c>
      <c r="D169" s="35">
        <v>5.2359346235132307</v>
      </c>
    </row>
    <row r="170" spans="2:4">
      <c r="B170" s="29">
        <v>46159</v>
      </c>
      <c r="C170" s="35">
        <v>0.65</v>
      </c>
      <c r="D170" s="35">
        <v>4.9786695861912609</v>
      </c>
    </row>
    <row r="171" spans="2:4">
      <c r="B171" s="29">
        <v>46160</v>
      </c>
      <c r="C171" s="35">
        <v>0.65</v>
      </c>
      <c r="D171" s="35">
        <v>4.9786695861912609</v>
      </c>
    </row>
    <row r="172" spans="2:4">
      <c r="B172" s="29">
        <v>46161</v>
      </c>
      <c r="C172" s="35">
        <v>0.65</v>
      </c>
      <c r="D172" s="35">
        <v>4.9786695861912609</v>
      </c>
    </row>
    <row r="173" spans="2:4">
      <c r="B173" s="29">
        <v>46162</v>
      </c>
      <c r="C173" s="35">
        <v>0.62</v>
      </c>
      <c r="D173" s="35">
        <v>4.2598254444956689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4"/>
  <sheetViews>
    <sheetView workbookViewId="0">
      <selection activeCell="F5" sqref="F5"/>
    </sheetView>
  </sheetViews>
  <sheetFormatPr defaultColWidth="9.81640625" defaultRowHeight="14.5"/>
  <cols>
    <col min="1" max="1" width="10.54296875"/>
    <col min="2" max="2" width="18" customWidth="1"/>
    <col min="3" max="3" width="16.6328125" customWidth="1"/>
  </cols>
  <sheetData>
    <row r="1" spans="1:3" ht="23" customHeight="1">
      <c r="A1" s="11" t="s">
        <v>0</v>
      </c>
      <c r="B1" s="11" t="s">
        <v>1</v>
      </c>
      <c r="C1" s="11" t="s">
        <v>2</v>
      </c>
    </row>
    <row r="2" spans="1:3" ht="23" customHeight="1">
      <c r="A2" s="15"/>
      <c r="B2" s="15"/>
      <c r="C2" s="15"/>
    </row>
    <row r="3" spans="1:3">
      <c r="A3" s="13">
        <v>45978</v>
      </c>
      <c r="B3" s="12">
        <v>1.02</v>
      </c>
      <c r="C3" s="16">
        <v>22.74</v>
      </c>
    </row>
    <row r="4" spans="1:3">
      <c r="A4" s="13">
        <v>45979</v>
      </c>
      <c r="B4" s="12">
        <v>1.02</v>
      </c>
      <c r="C4" s="16">
        <v>3.73</v>
      </c>
    </row>
    <row r="5" spans="1:3">
      <c r="A5" s="13">
        <v>45980</v>
      </c>
      <c r="B5" s="12">
        <v>1.02</v>
      </c>
      <c r="C5" s="16">
        <v>4.07</v>
      </c>
    </row>
    <row r="6" spans="1:3">
      <c r="A6" s="13">
        <v>45981</v>
      </c>
      <c r="B6" s="12">
        <v>1.02</v>
      </c>
      <c r="C6" s="16">
        <v>2.88</v>
      </c>
    </row>
    <row r="7" spans="1:3">
      <c r="A7" s="13">
        <v>45982</v>
      </c>
      <c r="B7" s="12">
        <v>1.02</v>
      </c>
      <c r="C7" s="16">
        <v>3.82</v>
      </c>
    </row>
    <row r="8" spans="1:3">
      <c r="A8" s="13">
        <v>45983</v>
      </c>
      <c r="B8" s="12">
        <v>1.02</v>
      </c>
      <c r="C8" s="16">
        <v>3.83</v>
      </c>
    </row>
    <row r="9" spans="1:3">
      <c r="A9" s="13">
        <v>45984</v>
      </c>
      <c r="B9" s="12">
        <v>1.02</v>
      </c>
      <c r="C9" s="16">
        <v>2.4500000000000002</v>
      </c>
    </row>
    <row r="10" spans="1:3">
      <c r="A10" s="13">
        <v>45985</v>
      </c>
      <c r="B10" s="12">
        <v>1.02</v>
      </c>
      <c r="C10" s="16">
        <v>3.95</v>
      </c>
    </row>
    <row r="11" spans="1:3">
      <c r="A11" s="13">
        <v>45986</v>
      </c>
      <c r="B11" s="12">
        <v>1.02</v>
      </c>
      <c r="C11" s="16">
        <v>20.18</v>
      </c>
    </row>
    <row r="12" spans="1:3">
      <c r="A12" s="13">
        <v>45987</v>
      </c>
      <c r="B12" s="12">
        <v>1.02</v>
      </c>
      <c r="C12" s="16">
        <v>3.18</v>
      </c>
    </row>
    <row r="13" spans="1:3">
      <c r="A13" s="13">
        <v>45988</v>
      </c>
      <c r="B13" s="12">
        <v>1.02</v>
      </c>
      <c r="C13" s="16">
        <v>4.78</v>
      </c>
    </row>
    <row r="14" spans="1:3">
      <c r="A14" s="13">
        <v>45989</v>
      </c>
      <c r="B14" s="12">
        <v>1.02</v>
      </c>
      <c r="C14" s="16">
        <v>7.9</v>
      </c>
    </row>
    <row r="15" spans="1:3">
      <c r="A15" s="13">
        <v>45990</v>
      </c>
      <c r="B15" s="12">
        <v>1.02</v>
      </c>
      <c r="C15" s="16">
        <v>6.18</v>
      </c>
    </row>
    <row r="16" spans="1:3">
      <c r="A16" s="13">
        <v>45991</v>
      </c>
      <c r="B16" s="12">
        <v>1.02</v>
      </c>
      <c r="C16" s="16">
        <v>3.08</v>
      </c>
    </row>
    <row r="17" spans="1:3">
      <c r="A17" s="13">
        <v>45992</v>
      </c>
      <c r="B17" s="12">
        <v>1.02</v>
      </c>
      <c r="C17" s="16">
        <v>2.86</v>
      </c>
    </row>
    <row r="18" spans="1:3">
      <c r="A18" s="13">
        <v>45993</v>
      </c>
      <c r="B18" s="12">
        <v>1.02</v>
      </c>
      <c r="C18" s="16">
        <v>2.82</v>
      </c>
    </row>
    <row r="19" spans="1:3">
      <c r="A19" s="13">
        <v>45994</v>
      </c>
      <c r="B19" s="12">
        <v>1.02</v>
      </c>
      <c r="C19" s="16">
        <v>2.98</v>
      </c>
    </row>
    <row r="20" spans="1:3">
      <c r="A20" s="13">
        <v>45995</v>
      </c>
      <c r="B20" s="12">
        <v>1.02</v>
      </c>
      <c r="C20" s="16">
        <v>2.84</v>
      </c>
    </row>
    <row r="21" spans="1:3">
      <c r="A21" s="13">
        <v>45996</v>
      </c>
      <c r="B21" s="12">
        <v>1.02</v>
      </c>
      <c r="C21" s="16">
        <v>30.5</v>
      </c>
    </row>
    <row r="22" spans="1:3">
      <c r="A22" s="13">
        <v>45997</v>
      </c>
      <c r="B22" s="12">
        <v>1.02</v>
      </c>
      <c r="C22" s="16">
        <v>28.13</v>
      </c>
    </row>
    <row r="23" spans="1:3">
      <c r="A23" s="13">
        <v>45998</v>
      </c>
      <c r="B23" s="12">
        <v>1.02</v>
      </c>
      <c r="C23" s="16">
        <v>37.65</v>
      </c>
    </row>
    <row r="24" spans="1:3">
      <c r="A24" s="13">
        <v>45999</v>
      </c>
      <c r="B24" s="12">
        <v>1.02</v>
      </c>
      <c r="C24" s="16">
        <v>34.71</v>
      </c>
    </row>
    <row r="25" spans="1:3">
      <c r="A25" s="13">
        <v>46000</v>
      </c>
      <c r="B25" s="12">
        <v>1.02</v>
      </c>
      <c r="C25" s="16">
        <v>41.56</v>
      </c>
    </row>
    <row r="26" spans="1:3">
      <c r="A26" s="13">
        <v>46001</v>
      </c>
      <c r="B26" s="12">
        <v>1.02</v>
      </c>
      <c r="C26" s="16">
        <v>46.94</v>
      </c>
    </row>
    <row r="27" spans="1:3">
      <c r="A27" s="13">
        <v>46002</v>
      </c>
      <c r="B27" s="12">
        <v>1.02</v>
      </c>
      <c r="C27" s="16">
        <v>47.81</v>
      </c>
    </row>
    <row r="28" spans="1:3">
      <c r="A28" s="13">
        <v>46003</v>
      </c>
      <c r="B28" s="12">
        <v>1.02</v>
      </c>
      <c r="C28" s="16">
        <v>44.88</v>
      </c>
    </row>
    <row r="29" spans="1:3">
      <c r="A29" s="13">
        <v>46004</v>
      </c>
      <c r="B29" s="12">
        <v>1.02</v>
      </c>
      <c r="C29" s="16">
        <v>48.58</v>
      </c>
    </row>
    <row r="30" spans="1:3">
      <c r="A30" s="13">
        <v>46005</v>
      </c>
      <c r="B30" s="12">
        <v>1.02</v>
      </c>
      <c r="C30" s="16">
        <v>49.31</v>
      </c>
    </row>
    <row r="31" spans="1:3">
      <c r="A31" s="13">
        <v>46006</v>
      </c>
      <c r="B31" s="12">
        <v>1.02</v>
      </c>
      <c r="C31" s="16">
        <v>44.88</v>
      </c>
    </row>
    <row r="32" spans="1:3">
      <c r="A32" s="13">
        <v>46007</v>
      </c>
      <c r="B32" s="12">
        <v>1.02</v>
      </c>
      <c r="C32" s="16">
        <v>42.98</v>
      </c>
    </row>
    <row r="33" spans="1:3">
      <c r="A33" s="13">
        <v>46008</v>
      </c>
      <c r="B33" s="12">
        <v>1.02</v>
      </c>
      <c r="C33" s="16">
        <v>41.4</v>
      </c>
    </row>
    <row r="34" spans="1:3">
      <c r="A34" s="13">
        <v>46009</v>
      </c>
      <c r="B34" s="12">
        <v>1.02</v>
      </c>
      <c r="C34" s="16">
        <v>43.05</v>
      </c>
    </row>
    <row r="35" spans="1:3">
      <c r="A35" s="13">
        <v>46010</v>
      </c>
      <c r="B35" s="12">
        <v>1.02</v>
      </c>
      <c r="C35" s="16">
        <v>45.14</v>
      </c>
    </row>
    <row r="36" spans="1:3">
      <c r="A36" s="13">
        <v>46011</v>
      </c>
      <c r="B36" s="12">
        <v>1.02</v>
      </c>
      <c r="C36" s="16">
        <v>42.71</v>
      </c>
    </row>
    <row r="37" spans="1:3">
      <c r="A37" s="13">
        <v>46012</v>
      </c>
      <c r="B37" s="12">
        <v>1.02</v>
      </c>
      <c r="C37" s="16">
        <v>41.05</v>
      </c>
    </row>
    <row r="38" spans="1:3">
      <c r="A38" s="13">
        <v>46013</v>
      </c>
      <c r="B38" s="12">
        <v>1.02</v>
      </c>
      <c r="C38" s="16">
        <v>40.85</v>
      </c>
    </row>
    <row r="39" spans="1:3">
      <c r="A39" s="13">
        <v>46014</v>
      </c>
      <c r="B39" s="12">
        <v>1.02</v>
      </c>
      <c r="C39" s="16">
        <v>42.69</v>
      </c>
    </row>
    <row r="40" spans="1:3">
      <c r="A40" s="13">
        <v>46015</v>
      </c>
      <c r="B40" s="12">
        <v>1.02</v>
      </c>
      <c r="C40" s="16">
        <v>42.28</v>
      </c>
    </row>
    <row r="41" spans="1:3">
      <c r="A41" s="13">
        <v>46016</v>
      </c>
      <c r="B41" s="12">
        <v>1.02</v>
      </c>
      <c r="C41" s="16">
        <v>53.02</v>
      </c>
    </row>
    <row r="42" spans="1:3">
      <c r="A42" s="13">
        <v>46017</v>
      </c>
      <c r="B42" s="12">
        <v>1.02</v>
      </c>
      <c r="C42" s="16">
        <v>72.61</v>
      </c>
    </row>
    <row r="43" spans="1:3">
      <c r="A43" s="13">
        <v>46018</v>
      </c>
      <c r="B43" s="12">
        <v>1.02</v>
      </c>
      <c r="C43" s="16">
        <v>135.52000000000001</v>
      </c>
    </row>
    <row r="44" spans="1:3">
      <c r="A44" s="13">
        <v>46019</v>
      </c>
      <c r="B44" s="12">
        <v>1.02</v>
      </c>
      <c r="C44" s="16">
        <v>190.38</v>
      </c>
    </row>
    <row r="45" spans="1:3">
      <c r="A45" s="13">
        <v>46020</v>
      </c>
      <c r="B45" s="12">
        <v>1.02</v>
      </c>
      <c r="C45" s="16">
        <v>154.13999999999999</v>
      </c>
    </row>
    <row r="46" spans="1:3">
      <c r="A46" s="13">
        <v>46021</v>
      </c>
      <c r="B46" s="12">
        <v>1.02</v>
      </c>
      <c r="C46" s="16">
        <v>106.7</v>
      </c>
    </row>
    <row r="47" spans="1:3">
      <c r="A47" s="13">
        <v>46022</v>
      </c>
      <c r="B47" s="12">
        <v>1.02</v>
      </c>
      <c r="C47" s="16">
        <v>81.73</v>
      </c>
    </row>
    <row r="48" spans="1:3">
      <c r="A48" s="13">
        <v>46023</v>
      </c>
      <c r="B48" s="12">
        <v>1.02</v>
      </c>
      <c r="C48" s="16">
        <v>136.72999999999999</v>
      </c>
    </row>
    <row r="49" spans="1:3">
      <c r="A49" s="13">
        <v>46024</v>
      </c>
      <c r="B49" s="12">
        <v>1.02</v>
      </c>
      <c r="C49" s="16">
        <v>162.57</v>
      </c>
    </row>
    <row r="50" spans="1:3">
      <c r="A50" s="13">
        <v>46025</v>
      </c>
      <c r="B50" s="12">
        <v>1.02</v>
      </c>
      <c r="C50" s="16">
        <v>102.48</v>
      </c>
    </row>
    <row r="51" spans="1:3">
      <c r="A51" s="13">
        <v>46026</v>
      </c>
      <c r="B51" s="12">
        <v>1.02</v>
      </c>
      <c r="C51" s="16">
        <v>77.709999999999994</v>
      </c>
    </row>
    <row r="52" spans="1:3">
      <c r="A52" s="13">
        <v>46027</v>
      </c>
      <c r="B52" s="12">
        <v>1.02</v>
      </c>
      <c r="C52" s="16">
        <v>58.16</v>
      </c>
    </row>
    <row r="53" spans="1:3">
      <c r="A53" s="13">
        <v>46028</v>
      </c>
      <c r="B53" s="12">
        <v>1.02</v>
      </c>
      <c r="C53" s="16">
        <v>63.5</v>
      </c>
    </row>
    <row r="54" spans="1:3">
      <c r="A54" s="13">
        <v>46029</v>
      </c>
      <c r="B54" s="12">
        <v>1.02</v>
      </c>
      <c r="C54" s="16">
        <v>53.59</v>
      </c>
    </row>
    <row r="55" spans="1:3">
      <c r="A55" s="13">
        <v>46030</v>
      </c>
      <c r="B55" s="12">
        <v>1.02</v>
      </c>
      <c r="C55" s="16">
        <v>61.32</v>
      </c>
    </row>
    <row r="56" spans="1:3">
      <c r="A56" s="13">
        <v>46031</v>
      </c>
      <c r="B56" s="12">
        <v>1.02</v>
      </c>
      <c r="C56" s="16">
        <v>77.22</v>
      </c>
    </row>
    <row r="57" spans="1:3">
      <c r="A57" s="13">
        <v>46032</v>
      </c>
      <c r="B57" s="12">
        <v>1.02</v>
      </c>
      <c r="C57" s="16">
        <v>56.28</v>
      </c>
    </row>
    <row r="58" spans="1:3">
      <c r="A58" s="13">
        <v>46033</v>
      </c>
      <c r="B58" s="12">
        <v>1.02</v>
      </c>
      <c r="C58" s="16">
        <v>50.11</v>
      </c>
    </row>
    <row r="59" spans="1:3">
      <c r="A59" s="13">
        <v>46034</v>
      </c>
      <c r="B59" s="12">
        <v>1.02</v>
      </c>
      <c r="C59" s="16">
        <v>54.02</v>
      </c>
    </row>
    <row r="60" spans="1:3">
      <c r="A60" s="13">
        <v>46035</v>
      </c>
      <c r="B60" s="12">
        <v>1.02</v>
      </c>
      <c r="C60" s="16">
        <v>51.36</v>
      </c>
    </row>
    <row r="61" spans="1:3">
      <c r="A61" s="13">
        <v>46036</v>
      </c>
      <c r="B61" s="12">
        <v>1.02</v>
      </c>
      <c r="C61" s="16">
        <v>48.16</v>
      </c>
    </row>
    <row r="62" spans="1:3">
      <c r="A62" s="13">
        <v>46037</v>
      </c>
      <c r="B62" s="12">
        <v>1.02</v>
      </c>
      <c r="C62" s="16">
        <v>46.95</v>
      </c>
    </row>
    <row r="63" spans="1:3">
      <c r="A63" s="13">
        <v>46038</v>
      </c>
      <c r="B63" s="12">
        <v>1.02</v>
      </c>
      <c r="C63" s="16">
        <v>49.78</v>
      </c>
    </row>
    <row r="64" spans="1:3">
      <c r="A64" s="13">
        <v>46039</v>
      </c>
      <c r="B64" s="12">
        <v>1.02</v>
      </c>
      <c r="C64" s="16">
        <v>51.83</v>
      </c>
    </row>
    <row r="65" spans="1:3">
      <c r="A65" s="13">
        <v>46040</v>
      </c>
      <c r="B65" s="12">
        <v>1.02</v>
      </c>
      <c r="C65" s="16">
        <v>50.9</v>
      </c>
    </row>
    <row r="66" spans="1:3">
      <c r="A66" s="13">
        <v>46041</v>
      </c>
      <c r="B66" s="12">
        <v>1.02</v>
      </c>
      <c r="C66" s="16">
        <v>48.68</v>
      </c>
    </row>
    <row r="67" spans="1:3">
      <c r="A67" s="13">
        <v>46042</v>
      </c>
      <c r="B67" s="12">
        <v>1.02</v>
      </c>
      <c r="C67" s="16">
        <v>47.23</v>
      </c>
    </row>
    <row r="68" spans="1:3">
      <c r="A68" s="13">
        <v>46043</v>
      </c>
      <c r="B68" s="12">
        <v>1.02</v>
      </c>
      <c r="C68" s="16">
        <v>46.13</v>
      </c>
    </row>
    <row r="69" spans="1:3">
      <c r="A69" s="13">
        <v>46044</v>
      </c>
      <c r="B69" s="12">
        <v>1.02</v>
      </c>
      <c r="C69" s="16">
        <v>44.99</v>
      </c>
    </row>
    <row r="70" spans="1:3">
      <c r="A70" s="13">
        <v>46045</v>
      </c>
      <c r="B70" s="12">
        <v>1.02</v>
      </c>
      <c r="C70" s="16">
        <v>43.8</v>
      </c>
    </row>
    <row r="71" spans="1:3">
      <c r="A71" s="13">
        <v>46046</v>
      </c>
      <c r="B71" s="12">
        <v>1.02</v>
      </c>
      <c r="C71" s="16">
        <v>40.89</v>
      </c>
    </row>
    <row r="72" spans="1:3">
      <c r="A72" s="13">
        <v>46047</v>
      </c>
      <c r="B72" s="12">
        <v>1.02</v>
      </c>
      <c r="C72" s="16">
        <v>34.270000000000003</v>
      </c>
    </row>
    <row r="73" spans="1:3">
      <c r="A73" s="13">
        <v>46048</v>
      </c>
      <c r="B73" s="12">
        <v>1.02</v>
      </c>
      <c r="C73" s="16">
        <v>33.17</v>
      </c>
    </row>
    <row r="74" spans="1:3">
      <c r="A74" s="13">
        <v>46049</v>
      </c>
      <c r="B74" s="12">
        <v>1.02</v>
      </c>
      <c r="C74" s="16">
        <v>33.380000000000003</v>
      </c>
    </row>
    <row r="75" spans="1:3">
      <c r="A75" s="13">
        <v>46050</v>
      </c>
      <c r="B75" s="12">
        <v>1.02</v>
      </c>
      <c r="C75" s="16">
        <v>33.057000000000002</v>
      </c>
    </row>
    <row r="76" spans="1:3">
      <c r="A76" s="13">
        <v>46051</v>
      </c>
      <c r="B76" s="12">
        <v>1.02</v>
      </c>
      <c r="C76" s="16">
        <v>32.067</v>
      </c>
    </row>
    <row r="77" spans="1:3">
      <c r="A77" s="13">
        <v>46052</v>
      </c>
      <c r="B77" s="12">
        <v>1.02</v>
      </c>
      <c r="C77" s="16">
        <v>30.277999999999999</v>
      </c>
    </row>
    <row r="78" spans="1:3">
      <c r="A78" s="13">
        <v>46053</v>
      </c>
      <c r="B78" s="12">
        <v>1.02</v>
      </c>
      <c r="C78" s="16">
        <v>30.873000000000001</v>
      </c>
    </row>
    <row r="79" spans="1:3">
      <c r="A79" s="13">
        <v>46054</v>
      </c>
      <c r="B79" s="12">
        <v>1.02</v>
      </c>
      <c r="C79" s="16">
        <v>31.64</v>
      </c>
    </row>
    <row r="80" spans="1:3">
      <c r="A80" s="13">
        <v>46055</v>
      </c>
      <c r="B80" s="12">
        <v>1.02</v>
      </c>
      <c r="C80" s="16">
        <v>30.605</v>
      </c>
    </row>
    <row r="81" spans="1:3">
      <c r="A81" s="13">
        <v>46056</v>
      </c>
      <c r="B81" s="12">
        <v>1.02</v>
      </c>
      <c r="C81" s="16">
        <v>30.364000000000001</v>
      </c>
    </row>
    <row r="82" spans="1:3">
      <c r="A82" s="13">
        <v>46057</v>
      </c>
      <c r="B82" s="12">
        <v>1.02</v>
      </c>
      <c r="C82" s="16">
        <v>29.324999999999999</v>
      </c>
    </row>
    <row r="83" spans="1:3">
      <c r="A83" s="13">
        <v>46058</v>
      </c>
      <c r="B83" s="12">
        <v>1.02</v>
      </c>
      <c r="C83" s="16">
        <v>31.995999999999999</v>
      </c>
    </row>
    <row r="84" spans="1:3">
      <c r="A84" s="13">
        <v>46059</v>
      </c>
      <c r="B84" s="12">
        <v>1.02</v>
      </c>
      <c r="C84" s="16">
        <v>32.392000000000003</v>
      </c>
    </row>
    <row r="85" spans="1:3">
      <c r="A85" s="13">
        <v>46060</v>
      </c>
      <c r="B85" s="12">
        <v>1.02</v>
      </c>
      <c r="C85" s="16">
        <v>28.48</v>
      </c>
    </row>
    <row r="86" spans="1:3">
      <c r="A86" s="13">
        <v>46061</v>
      </c>
      <c r="B86" s="12">
        <v>1.02</v>
      </c>
      <c r="C86" s="16">
        <v>27.68</v>
      </c>
    </row>
    <row r="87" spans="1:3">
      <c r="A87" s="13">
        <v>46062</v>
      </c>
      <c r="B87" s="12">
        <v>1.02</v>
      </c>
      <c r="C87" s="16">
        <v>27.103999999999999</v>
      </c>
    </row>
    <row r="88" spans="1:3">
      <c r="A88" s="13">
        <v>46063</v>
      </c>
      <c r="B88" s="12">
        <v>1.02</v>
      </c>
      <c r="C88" s="16">
        <v>26.617000000000001</v>
      </c>
    </row>
    <row r="89" spans="1:3">
      <c r="A89" s="13">
        <v>46064</v>
      </c>
      <c r="B89" s="12">
        <v>1.02</v>
      </c>
      <c r="C89" s="16">
        <v>23.396999999999998</v>
      </c>
    </row>
    <row r="90" spans="1:3">
      <c r="A90" s="13">
        <v>46065</v>
      </c>
      <c r="B90" s="12">
        <v>1.02</v>
      </c>
      <c r="C90" s="16">
        <v>20.248000000000001</v>
      </c>
    </row>
    <row r="91" spans="1:3">
      <c r="A91" s="13">
        <v>46066</v>
      </c>
      <c r="B91" s="12">
        <v>1.02</v>
      </c>
      <c r="C91" s="16">
        <v>20.289000000000001</v>
      </c>
    </row>
    <row r="92" spans="1:3">
      <c r="A92" s="13">
        <v>46067</v>
      </c>
      <c r="B92" s="12">
        <v>1.02</v>
      </c>
      <c r="C92" s="16">
        <v>20.082000000000001</v>
      </c>
    </row>
    <row r="93" spans="1:3">
      <c r="A93" s="13">
        <v>46068</v>
      </c>
      <c r="B93" s="12">
        <v>1.02</v>
      </c>
      <c r="C93" s="16">
        <v>20.521000000000001</v>
      </c>
    </row>
    <row r="94" spans="1:3">
      <c r="A94" s="13">
        <v>46069</v>
      </c>
      <c r="B94" s="12">
        <v>1.02</v>
      </c>
      <c r="C94" s="16">
        <v>22.257000000000001</v>
      </c>
    </row>
    <row r="95" spans="1:3">
      <c r="A95" s="13">
        <v>46070</v>
      </c>
      <c r="B95" s="12">
        <v>1.02</v>
      </c>
      <c r="C95" s="16">
        <v>21.088999999999999</v>
      </c>
    </row>
    <row r="96" spans="1:3">
      <c r="A96" s="13">
        <v>46071</v>
      </c>
      <c r="B96" s="12">
        <v>1.02</v>
      </c>
      <c r="C96" s="16">
        <v>20.081</v>
      </c>
    </row>
    <row r="97" spans="1:3">
      <c r="A97" s="13">
        <v>46072</v>
      </c>
      <c r="B97" s="12">
        <v>1.02</v>
      </c>
      <c r="C97" s="16">
        <v>19.603999999999999</v>
      </c>
    </row>
    <row r="98" spans="1:3">
      <c r="A98" s="13">
        <v>46073</v>
      </c>
      <c r="B98" s="12">
        <v>1.02</v>
      </c>
      <c r="C98" s="16">
        <v>20.268999999999998</v>
      </c>
    </row>
    <row r="99" spans="1:3">
      <c r="A99" s="13">
        <v>46074</v>
      </c>
      <c r="B99" s="12">
        <v>1.02</v>
      </c>
      <c r="C99" s="16">
        <v>34.584000000000003</v>
      </c>
    </row>
    <row r="100" spans="1:3">
      <c r="A100" s="13">
        <v>46075</v>
      </c>
      <c r="B100" s="12">
        <v>1.02</v>
      </c>
      <c r="C100" s="16">
        <v>38.021999999999998</v>
      </c>
    </row>
    <row r="101" spans="1:3">
      <c r="A101" s="13">
        <v>46076</v>
      </c>
      <c r="B101" s="12">
        <v>1.02</v>
      </c>
      <c r="C101" s="16">
        <v>28.762</v>
      </c>
    </row>
    <row r="102" spans="1:3">
      <c r="A102" s="13">
        <v>46077</v>
      </c>
      <c r="B102" s="12">
        <v>1.02</v>
      </c>
      <c r="C102" s="16">
        <v>27.431999999999999</v>
      </c>
    </row>
    <row r="103" spans="1:3">
      <c r="A103" s="13">
        <v>46078</v>
      </c>
      <c r="B103" s="12">
        <v>1.02</v>
      </c>
      <c r="C103" s="16">
        <v>29.317</v>
      </c>
    </row>
    <row r="104" spans="1:3">
      <c r="A104" s="13">
        <v>46079</v>
      </c>
      <c r="B104" s="12">
        <v>1.02</v>
      </c>
      <c r="C104" s="16">
        <v>35.308999999999997</v>
      </c>
    </row>
    <row r="105" spans="1:3">
      <c r="A105" s="13">
        <v>46080</v>
      </c>
      <c r="B105" s="12">
        <v>1.02</v>
      </c>
      <c r="C105" s="16">
        <v>38.597999999999999</v>
      </c>
    </row>
    <row r="106" spans="1:3">
      <c r="A106" s="13">
        <v>46081</v>
      </c>
      <c r="B106" s="12">
        <v>1.02</v>
      </c>
      <c r="C106" s="16">
        <v>38.597999999999999</v>
      </c>
    </row>
    <row r="107" spans="1:3">
      <c r="A107" s="13">
        <v>46082</v>
      </c>
      <c r="B107" s="12">
        <v>1.02</v>
      </c>
      <c r="C107" s="16">
        <v>37.722000000000001</v>
      </c>
    </row>
    <row r="108" spans="1:3">
      <c r="A108" s="13">
        <v>46083</v>
      </c>
      <c r="B108" s="12">
        <v>1.02</v>
      </c>
      <c r="C108" s="16">
        <v>37.856999999999999</v>
      </c>
    </row>
    <row r="109" spans="1:3">
      <c r="A109" s="13">
        <v>46084</v>
      </c>
      <c r="B109" s="12">
        <v>1.02</v>
      </c>
      <c r="C109" s="16">
        <v>37.936999999999998</v>
      </c>
    </row>
    <row r="110" spans="1:3">
      <c r="A110" s="13">
        <v>46085</v>
      </c>
      <c r="B110" s="12">
        <v>1.02</v>
      </c>
      <c r="C110" s="16">
        <v>37.802</v>
      </c>
    </row>
    <row r="111" spans="1:3">
      <c r="A111" s="13">
        <v>46086</v>
      </c>
      <c r="B111" s="12">
        <v>1.02</v>
      </c>
      <c r="C111" s="16">
        <v>37.539000000000001</v>
      </c>
    </row>
    <row r="112" spans="1:3">
      <c r="A112" s="13">
        <v>46087</v>
      </c>
      <c r="B112" s="12">
        <v>1.02</v>
      </c>
      <c r="C112" s="16">
        <v>37.896000000000001</v>
      </c>
    </row>
    <row r="113" spans="1:3">
      <c r="A113" s="13">
        <v>46088</v>
      </c>
      <c r="B113" s="12">
        <v>1.02</v>
      </c>
      <c r="C113" s="16">
        <v>38.356000000000002</v>
      </c>
    </row>
    <row r="114" spans="1:3">
      <c r="A114" s="13">
        <v>46089</v>
      </c>
      <c r="B114" s="12">
        <v>1.02</v>
      </c>
      <c r="C114" s="16">
        <v>28.59</v>
      </c>
    </row>
    <row r="115" spans="1:3">
      <c r="A115" s="13">
        <v>46090</v>
      </c>
      <c r="B115" s="12">
        <v>1.02</v>
      </c>
      <c r="C115" s="16">
        <v>20.975999999999999</v>
      </c>
    </row>
    <row r="116" spans="1:3">
      <c r="A116" s="13">
        <v>46091</v>
      </c>
      <c r="B116" s="12">
        <v>1.02</v>
      </c>
      <c r="C116" s="16">
        <v>19.856999999999999</v>
      </c>
    </row>
    <row r="117" spans="1:3">
      <c r="A117" s="13">
        <v>46092</v>
      </c>
      <c r="B117" s="12">
        <v>1.02</v>
      </c>
      <c r="C117" s="16">
        <v>18.117000000000001</v>
      </c>
    </row>
    <row r="118" spans="1:3">
      <c r="A118" s="13">
        <v>46093</v>
      </c>
      <c r="B118" s="12">
        <v>1.02</v>
      </c>
      <c r="C118" s="16">
        <v>16.975999999999999</v>
      </c>
    </row>
    <row r="119" spans="1:3">
      <c r="A119" s="13">
        <v>46094</v>
      </c>
      <c r="B119" s="12">
        <v>1.02</v>
      </c>
      <c r="C119" s="16">
        <v>16.957999999999998</v>
      </c>
    </row>
    <row r="120" spans="1:3">
      <c r="A120" s="13">
        <v>46095</v>
      </c>
      <c r="B120" s="12">
        <v>1.02</v>
      </c>
      <c r="C120" s="16">
        <v>17.317</v>
      </c>
    </row>
    <row r="121" spans="1:3">
      <c r="A121" s="13">
        <v>46096</v>
      </c>
      <c r="B121" s="12">
        <v>1.02</v>
      </c>
      <c r="C121" s="16">
        <v>17.298999999999999</v>
      </c>
    </row>
    <row r="122" spans="1:3">
      <c r="A122" s="13">
        <v>46097</v>
      </c>
      <c r="B122" s="12">
        <v>1.02</v>
      </c>
      <c r="C122" s="16">
        <v>17.733000000000001</v>
      </c>
    </row>
    <row r="123" spans="1:3">
      <c r="A123" s="13">
        <v>46098</v>
      </c>
      <c r="B123" s="12">
        <v>1.02</v>
      </c>
      <c r="C123" s="16">
        <v>18.856999999999999</v>
      </c>
    </row>
    <row r="124" spans="1:3">
      <c r="A124" s="13">
        <v>46099</v>
      </c>
      <c r="B124" s="12">
        <v>1.02</v>
      </c>
      <c r="C124" s="16">
        <v>19.305</v>
      </c>
    </row>
    <row r="125" spans="1:3">
      <c r="A125" s="13">
        <v>46100</v>
      </c>
      <c r="B125" s="12">
        <v>1.02</v>
      </c>
      <c r="C125" s="16">
        <v>20.984000000000002</v>
      </c>
    </row>
    <row r="126" spans="1:3">
      <c r="A126" s="13">
        <v>46101</v>
      </c>
      <c r="B126" s="12">
        <v>1.02</v>
      </c>
      <c r="C126" s="16">
        <v>21.47</v>
      </c>
    </row>
    <row r="127" spans="1:3">
      <c r="A127" s="13">
        <v>46102</v>
      </c>
      <c r="B127" s="12">
        <v>1.02</v>
      </c>
      <c r="C127" s="16">
        <v>23.033000000000001</v>
      </c>
    </row>
    <row r="128" spans="1:3">
      <c r="A128" s="13">
        <v>46103</v>
      </c>
      <c r="B128" s="12">
        <v>1.02</v>
      </c>
      <c r="C128" s="16">
        <v>38.770000000000003</v>
      </c>
    </row>
    <row r="129" spans="1:3">
      <c r="A129" s="13">
        <v>46104</v>
      </c>
      <c r="B129" s="12">
        <v>1.02</v>
      </c>
      <c r="C129" s="16">
        <v>40.061999999999998</v>
      </c>
    </row>
    <row r="130" spans="1:3">
      <c r="A130" s="13">
        <v>46105</v>
      </c>
      <c r="B130" s="12">
        <v>1.02</v>
      </c>
      <c r="C130" s="16">
        <v>34.835999999999999</v>
      </c>
    </row>
    <row r="131" spans="1:3">
      <c r="A131" s="13">
        <v>46106</v>
      </c>
      <c r="B131" s="12">
        <v>1.02</v>
      </c>
      <c r="C131" s="16">
        <v>32.19</v>
      </c>
    </row>
    <row r="132" spans="1:3">
      <c r="A132" s="13">
        <v>46107</v>
      </c>
      <c r="B132" s="12">
        <v>1.02</v>
      </c>
      <c r="C132" s="16">
        <v>30.45</v>
      </c>
    </row>
    <row r="133" spans="1:3">
      <c r="A133" s="13">
        <v>46108</v>
      </c>
      <c r="B133" s="12">
        <v>1.02</v>
      </c>
      <c r="C133" s="16">
        <v>29.533999999999999</v>
      </c>
    </row>
    <row r="134" spans="1:3">
      <c r="A134" s="13">
        <v>46109</v>
      </c>
      <c r="B134" s="12">
        <v>1.02</v>
      </c>
      <c r="C134" s="16">
        <v>30.280999999999999</v>
      </c>
    </row>
    <row r="135" spans="1:3">
      <c r="A135" s="13">
        <v>46110</v>
      </c>
      <c r="B135" s="12">
        <v>1.02</v>
      </c>
      <c r="C135" s="16">
        <v>35.783000000000001</v>
      </c>
    </row>
    <row r="136" spans="1:3">
      <c r="A136" s="13">
        <v>46111</v>
      </c>
      <c r="B136" s="12">
        <v>1.02</v>
      </c>
      <c r="C136" s="16">
        <v>34.323</v>
      </c>
    </row>
    <row r="137" spans="1:3">
      <c r="A137" s="13">
        <v>46112</v>
      </c>
      <c r="B137" s="12">
        <v>1.02</v>
      </c>
      <c r="C137" s="16">
        <v>31.815999999999999</v>
      </c>
    </row>
    <row r="138" spans="1:3">
      <c r="A138" s="13">
        <v>46113</v>
      </c>
      <c r="B138" s="12">
        <v>1.02</v>
      </c>
      <c r="C138" s="16">
        <v>30.914000000000001</v>
      </c>
    </row>
    <row r="139" spans="1:3">
      <c r="A139" s="13">
        <v>46114</v>
      </c>
      <c r="B139" s="12">
        <v>1.02</v>
      </c>
      <c r="C139" s="16">
        <v>30.914000000000001</v>
      </c>
    </row>
    <row r="140" spans="1:3">
      <c r="A140" s="13">
        <v>46115</v>
      </c>
      <c r="B140" s="12">
        <v>1.02</v>
      </c>
      <c r="C140" s="16">
        <v>30.721</v>
      </c>
    </row>
    <row r="141" spans="1:3">
      <c r="A141" s="13">
        <v>46116</v>
      </c>
      <c r="B141" s="12">
        <v>1.02</v>
      </c>
      <c r="C141" s="16">
        <v>30.146000000000001</v>
      </c>
    </row>
    <row r="142" spans="1:3">
      <c r="A142" s="13">
        <v>46117</v>
      </c>
      <c r="B142" s="12">
        <v>1.02</v>
      </c>
      <c r="C142" s="16">
        <v>29.513000000000002</v>
      </c>
    </row>
    <row r="143" spans="1:3">
      <c r="A143" s="13">
        <v>46118</v>
      </c>
      <c r="B143" s="12">
        <v>1.02</v>
      </c>
      <c r="C143" s="16">
        <v>29.099</v>
      </c>
    </row>
    <row r="144" spans="1:3">
      <c r="A144" s="13">
        <v>46119</v>
      </c>
      <c r="B144" s="12">
        <v>1.02</v>
      </c>
      <c r="C144" s="16">
        <v>28.571000000000002</v>
      </c>
    </row>
    <row r="145" spans="1:3">
      <c r="A145" s="13">
        <v>46120</v>
      </c>
      <c r="B145" s="12">
        <v>1.02</v>
      </c>
      <c r="C145" s="16">
        <v>28.390999999999998</v>
      </c>
    </row>
    <row r="146" spans="1:3">
      <c r="A146" s="13">
        <v>46121</v>
      </c>
      <c r="B146" s="12">
        <v>1.02</v>
      </c>
      <c r="C146" s="16">
        <v>28.721</v>
      </c>
    </row>
    <row r="147" spans="1:3">
      <c r="A147" s="13">
        <v>46122</v>
      </c>
      <c r="B147" s="12">
        <v>1.02</v>
      </c>
      <c r="C147" s="16">
        <v>27.744</v>
      </c>
    </row>
    <row r="148" spans="1:3">
      <c r="A148" s="13">
        <v>46123</v>
      </c>
      <c r="B148" s="12">
        <v>1.02</v>
      </c>
      <c r="C148" s="16">
        <v>27.19</v>
      </c>
    </row>
    <row r="149" spans="1:3">
      <c r="A149" s="13">
        <v>46124</v>
      </c>
      <c r="B149" s="12">
        <v>1.02</v>
      </c>
      <c r="C149" s="16">
        <v>26.702999999999999</v>
      </c>
    </row>
    <row r="150" spans="1:3">
      <c r="A150" s="13">
        <v>46125</v>
      </c>
      <c r="B150" s="12">
        <v>1.02</v>
      </c>
      <c r="C150" s="16">
        <v>26.288</v>
      </c>
    </row>
    <row r="151" spans="1:3">
      <c r="A151" s="13">
        <v>46126</v>
      </c>
      <c r="B151" s="12">
        <v>1.02</v>
      </c>
      <c r="C151" s="16">
        <v>26.047000000000001</v>
      </c>
    </row>
    <row r="152" spans="1:3">
      <c r="A152" s="13">
        <v>46127</v>
      </c>
      <c r="B152" s="12">
        <v>1.02</v>
      </c>
      <c r="C152" s="16">
        <v>26.641999999999999</v>
      </c>
    </row>
    <row r="153" spans="1:3">
      <c r="A153" s="13">
        <v>46128</v>
      </c>
      <c r="B153" s="12">
        <v>1.02</v>
      </c>
      <c r="C153" s="16">
        <v>32.36</v>
      </c>
    </row>
    <row r="154" spans="1:3">
      <c r="A154" s="13">
        <v>46129</v>
      </c>
      <c r="B154" s="12">
        <v>1.02</v>
      </c>
      <c r="C154" s="16">
        <v>30.547999999999998</v>
      </c>
    </row>
    <row r="155" spans="1:3">
      <c r="A155" s="13">
        <v>46130</v>
      </c>
      <c r="B155" s="12">
        <v>1.02</v>
      </c>
      <c r="C155" s="16">
        <v>26.727</v>
      </c>
    </row>
    <row r="156" spans="1:3">
      <c r="A156" s="13">
        <v>46131</v>
      </c>
      <c r="B156" s="12">
        <v>1.02</v>
      </c>
      <c r="C156" s="16">
        <v>25.702000000000002</v>
      </c>
    </row>
    <row r="157" spans="1:3">
      <c r="A157" s="13">
        <v>46132</v>
      </c>
      <c r="B157" s="12">
        <v>1.02</v>
      </c>
      <c r="C157" s="16">
        <v>25.158000000000001</v>
      </c>
    </row>
    <row r="158" spans="1:3">
      <c r="A158" s="13">
        <v>46133</v>
      </c>
      <c r="B158" s="12">
        <v>1.02</v>
      </c>
      <c r="C158" s="16">
        <v>24.681999999999999</v>
      </c>
    </row>
    <row r="159" spans="1:3">
      <c r="A159" s="13">
        <v>46134</v>
      </c>
      <c r="B159" s="12">
        <v>1.02</v>
      </c>
      <c r="C159" s="16">
        <v>26.890999999999998</v>
      </c>
    </row>
    <row r="160" spans="1:3">
      <c r="A160" s="13">
        <v>46135</v>
      </c>
      <c r="B160" s="12">
        <v>1.02</v>
      </c>
      <c r="C160" s="16">
        <v>30.652999999999999</v>
      </c>
    </row>
    <row r="161" spans="1:3">
      <c r="A161" s="13">
        <v>46136</v>
      </c>
      <c r="B161" s="12">
        <v>1.02</v>
      </c>
      <c r="C161" s="16">
        <v>34.357999999999997</v>
      </c>
    </row>
    <row r="162" spans="1:3">
      <c r="A162" s="13">
        <v>46137</v>
      </c>
      <c r="B162" s="12">
        <v>1.02</v>
      </c>
      <c r="C162" s="16">
        <v>34.067999999999998</v>
      </c>
    </row>
    <row r="163" spans="1:3">
      <c r="A163" s="13">
        <v>46138</v>
      </c>
      <c r="B163" s="12">
        <v>1.02</v>
      </c>
      <c r="C163" s="16">
        <v>33.146999999999998</v>
      </c>
    </row>
    <row r="164" spans="1:3">
      <c r="A164" s="13">
        <v>46139</v>
      </c>
      <c r="B164" s="12">
        <v>1.02</v>
      </c>
      <c r="C164" s="16">
        <v>31.327000000000002</v>
      </c>
    </row>
    <row r="165" spans="1:3">
      <c r="A165" s="13">
        <v>46140</v>
      </c>
      <c r="B165" s="12">
        <v>1.02</v>
      </c>
      <c r="C165" s="16">
        <v>29.754999999999999</v>
      </c>
    </row>
    <row r="166" spans="1:3">
      <c r="A166" s="13">
        <v>46141</v>
      </c>
      <c r="B166" s="12">
        <v>1.02</v>
      </c>
      <c r="C166" s="16">
        <v>28.823</v>
      </c>
    </row>
    <row r="167" spans="1:3">
      <c r="A167" s="13">
        <v>46142</v>
      </c>
      <c r="B167" s="12">
        <v>1.02</v>
      </c>
      <c r="C167" s="16">
        <v>28.029</v>
      </c>
    </row>
    <row r="168" spans="1:3">
      <c r="A168" s="13">
        <v>46143</v>
      </c>
      <c r="B168" s="12">
        <v>1.02</v>
      </c>
      <c r="C168" s="16">
        <v>27.47</v>
      </c>
    </row>
    <row r="169" spans="1:3">
      <c r="A169" s="13">
        <v>46144</v>
      </c>
      <c r="B169" s="12">
        <v>1.02</v>
      </c>
      <c r="C169" s="16">
        <v>27.048999999999999</v>
      </c>
    </row>
    <row r="170" spans="1:3">
      <c r="A170" s="13">
        <v>46145</v>
      </c>
      <c r="B170" s="12">
        <v>1.02</v>
      </c>
      <c r="C170" s="16">
        <v>26.460999999999999</v>
      </c>
    </row>
    <row r="171" spans="1:3">
      <c r="A171" s="13">
        <v>46146</v>
      </c>
      <c r="B171" s="12">
        <v>1.02</v>
      </c>
      <c r="C171" s="16">
        <v>25.777999999999999</v>
      </c>
    </row>
    <row r="172" spans="1:3">
      <c r="A172" s="13">
        <v>46147</v>
      </c>
      <c r="B172" s="12">
        <v>1.02</v>
      </c>
      <c r="C172" s="16">
        <v>26.954000000000001</v>
      </c>
    </row>
    <row r="173" spans="1:3">
      <c r="A173" s="13">
        <v>46148</v>
      </c>
      <c r="B173" s="12">
        <v>1.02</v>
      </c>
      <c r="C173" s="16">
        <v>37.667999999999999</v>
      </c>
    </row>
    <row r="174" spans="1:3">
      <c r="A174" s="13">
        <v>46149</v>
      </c>
      <c r="B174" s="12">
        <v>1.02</v>
      </c>
      <c r="C174" s="16">
        <v>38.484000000000002</v>
      </c>
    </row>
    <row r="175" spans="1:3">
      <c r="A175" s="13">
        <v>46150</v>
      </c>
      <c r="B175" s="12">
        <v>1.02</v>
      </c>
      <c r="C175" s="16">
        <v>32.329000000000001</v>
      </c>
    </row>
    <row r="176" spans="1:3">
      <c r="A176" s="13">
        <v>46151</v>
      </c>
      <c r="B176" s="12">
        <v>1.02</v>
      </c>
      <c r="C176" s="16">
        <v>29.565999999999999</v>
      </c>
    </row>
    <row r="177" spans="1:3">
      <c r="A177" s="13">
        <v>46152</v>
      </c>
      <c r="B177" s="12">
        <v>1.02</v>
      </c>
      <c r="C177" s="16">
        <v>27.684999999999999</v>
      </c>
    </row>
    <row r="178" spans="1:3">
      <c r="A178" s="13">
        <v>46153</v>
      </c>
      <c r="B178" s="12">
        <v>1.02</v>
      </c>
      <c r="C178" s="16">
        <v>26.748999999999999</v>
      </c>
    </row>
    <row r="179" spans="1:3">
      <c r="A179" s="13">
        <v>46154</v>
      </c>
      <c r="B179" s="12">
        <v>1.02</v>
      </c>
      <c r="C179" s="16">
        <v>25.963999999999999</v>
      </c>
    </row>
    <row r="180" spans="1:3">
      <c r="A180" s="13">
        <v>46155</v>
      </c>
      <c r="B180" s="12">
        <v>1.02</v>
      </c>
      <c r="C180" s="16">
        <v>26.111999999999998</v>
      </c>
    </row>
    <row r="181" spans="1:3">
      <c r="A181" s="13">
        <v>46156</v>
      </c>
      <c r="B181" s="12">
        <v>1.02</v>
      </c>
      <c r="C181" s="16">
        <v>25.196000000000002</v>
      </c>
    </row>
    <row r="182" spans="1:3">
      <c r="A182" s="13">
        <v>46157</v>
      </c>
      <c r="B182" s="12">
        <v>1.02</v>
      </c>
      <c r="C182" s="16">
        <v>24.629000000000001</v>
      </c>
    </row>
    <row r="183" spans="1:3">
      <c r="A183" s="13">
        <v>46158</v>
      </c>
      <c r="B183" s="12">
        <v>1.02</v>
      </c>
      <c r="C183" s="16">
        <v>23.457999999999998</v>
      </c>
    </row>
    <row r="184" spans="1:3">
      <c r="A184" s="13">
        <v>46159</v>
      </c>
      <c r="B184" s="12">
        <v>1.02</v>
      </c>
      <c r="C184" s="16">
        <v>23.042000000000002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6A747-A0F0-4247-A63E-181ED99F71AA}">
  <dimension ref="B2:D173"/>
  <sheetViews>
    <sheetView tabSelected="1" workbookViewId="0">
      <selection activeCell="G9" sqref="G9"/>
    </sheetView>
  </sheetViews>
  <sheetFormatPr defaultRowHeight="14.5"/>
  <cols>
    <col min="1" max="1" width="8.7265625" style="1"/>
    <col min="2" max="2" width="10.7265625" style="1" customWidth="1"/>
    <col min="3" max="16384" width="8.7265625" style="1"/>
  </cols>
  <sheetData>
    <row r="2" spans="2:4" ht="31.5" thickBot="1">
      <c r="B2" s="36" t="s">
        <v>5</v>
      </c>
      <c r="C2" s="41" t="s">
        <v>6</v>
      </c>
      <c r="D2" s="42" t="s">
        <v>12</v>
      </c>
    </row>
    <row r="3" spans="2:4">
      <c r="B3" s="43">
        <v>45992</v>
      </c>
      <c r="C3" s="44">
        <v>0.66</v>
      </c>
      <c r="D3" s="35">
        <v>5.2359346235132307</v>
      </c>
    </row>
    <row r="4" spans="2:4">
      <c r="B4" s="43">
        <v>45993</v>
      </c>
      <c r="C4" s="44">
        <v>0.96</v>
      </c>
      <c r="D4" s="35">
        <v>18.029940644455898</v>
      </c>
    </row>
    <row r="5" spans="2:4">
      <c r="B5" s="43">
        <v>45994</v>
      </c>
      <c r="C5" s="44">
        <v>0.9</v>
      </c>
      <c r="D5" s="35">
        <v>14.571340577509167</v>
      </c>
    </row>
    <row r="6" spans="2:4">
      <c r="B6" s="43">
        <v>45995</v>
      </c>
      <c r="C6" s="44">
        <v>0.81</v>
      </c>
      <c r="D6" s="35">
        <v>10.292000301782124</v>
      </c>
    </row>
    <row r="7" spans="2:4">
      <c r="B7" s="43">
        <v>45996</v>
      </c>
      <c r="C7" s="45">
        <v>0</v>
      </c>
      <c r="D7" s="46">
        <v>0</v>
      </c>
    </row>
    <row r="8" spans="2:4">
      <c r="B8" s="43">
        <v>45997</v>
      </c>
      <c r="C8" s="45">
        <v>0</v>
      </c>
      <c r="D8" s="46">
        <v>0</v>
      </c>
    </row>
    <row r="9" spans="2:4">
      <c r="B9" s="43">
        <v>45998</v>
      </c>
      <c r="C9" s="45">
        <v>0</v>
      </c>
      <c r="D9" s="46">
        <v>0</v>
      </c>
    </row>
    <row r="10" spans="2:4">
      <c r="B10" s="43">
        <v>45999</v>
      </c>
      <c r="C10" s="45">
        <v>0</v>
      </c>
      <c r="D10" s="46">
        <v>0</v>
      </c>
    </row>
    <row r="11" spans="2:4">
      <c r="B11" s="43">
        <v>46000</v>
      </c>
      <c r="C11" s="45">
        <v>0</v>
      </c>
      <c r="D11" s="46">
        <v>0</v>
      </c>
    </row>
    <row r="12" spans="2:4">
      <c r="B12" s="43">
        <v>46001</v>
      </c>
      <c r="C12" s="44">
        <v>0.63</v>
      </c>
      <c r="D12" s="35">
        <v>4.4907930429120517</v>
      </c>
    </row>
    <row r="13" spans="2:4">
      <c r="B13" s="43">
        <v>46002</v>
      </c>
      <c r="C13" s="44">
        <v>0.71</v>
      </c>
      <c r="D13" s="35">
        <v>6.66272331786287</v>
      </c>
    </row>
    <row r="14" spans="2:4">
      <c r="B14" s="43">
        <v>46003</v>
      </c>
      <c r="C14" s="44">
        <v>0.64</v>
      </c>
      <c r="D14" s="35">
        <v>4.7303485471745281</v>
      </c>
    </row>
    <row r="15" spans="2:4">
      <c r="B15" s="43">
        <v>46004</v>
      </c>
      <c r="C15" s="44">
        <v>0.6</v>
      </c>
      <c r="D15" s="35">
        <v>3.8229476785549217</v>
      </c>
    </row>
    <row r="16" spans="2:4">
      <c r="B16" s="43">
        <v>46005</v>
      </c>
      <c r="C16" s="44">
        <v>0.43</v>
      </c>
      <c r="D16" s="35">
        <v>1.5474230531039868</v>
      </c>
    </row>
    <row r="17" spans="2:4">
      <c r="B17" s="43">
        <v>46006</v>
      </c>
      <c r="C17" s="44">
        <v>0.6</v>
      </c>
      <c r="D17" s="35">
        <v>3.8229476785549217</v>
      </c>
    </row>
    <row r="18" spans="2:4">
      <c r="B18" s="43">
        <v>46007</v>
      </c>
      <c r="C18" s="44">
        <v>0.47</v>
      </c>
      <c r="D18" s="35">
        <v>1.7077416052951473</v>
      </c>
    </row>
    <row r="19" spans="2:4">
      <c r="B19" s="43">
        <v>46008</v>
      </c>
      <c r="C19" s="44">
        <v>0.21</v>
      </c>
      <c r="D19" s="35">
        <v>0.68357318688832969</v>
      </c>
    </row>
    <row r="20" spans="2:4">
      <c r="B20" s="43">
        <v>46009</v>
      </c>
      <c r="C20" s="45">
        <v>0</v>
      </c>
      <c r="D20" s="46">
        <v>0</v>
      </c>
    </row>
    <row r="21" spans="2:4">
      <c r="B21" s="43">
        <v>46010</v>
      </c>
      <c r="C21" s="45">
        <v>0</v>
      </c>
      <c r="D21" s="46">
        <v>0</v>
      </c>
    </row>
    <row r="22" spans="2:4">
      <c r="B22" s="43">
        <v>46011</v>
      </c>
      <c r="C22" s="45">
        <v>0</v>
      </c>
      <c r="D22" s="46">
        <v>0</v>
      </c>
    </row>
    <row r="23" spans="2:4">
      <c r="B23" s="43">
        <v>46012</v>
      </c>
      <c r="C23" s="45">
        <v>0</v>
      </c>
      <c r="D23" s="46">
        <v>0</v>
      </c>
    </row>
    <row r="24" spans="2:4">
      <c r="B24" s="43">
        <v>46013</v>
      </c>
      <c r="C24" s="45">
        <v>0</v>
      </c>
      <c r="D24" s="46">
        <v>0</v>
      </c>
    </row>
    <row r="25" spans="2:4">
      <c r="B25" s="43">
        <v>46014</v>
      </c>
      <c r="C25" s="45">
        <v>0</v>
      </c>
      <c r="D25" s="46">
        <v>0</v>
      </c>
    </row>
    <row r="26" spans="2:4">
      <c r="B26" s="43">
        <v>46015</v>
      </c>
      <c r="C26" s="45">
        <v>0</v>
      </c>
      <c r="D26" s="46">
        <v>0</v>
      </c>
    </row>
    <row r="27" spans="2:4">
      <c r="B27" s="43">
        <v>46016</v>
      </c>
      <c r="C27" s="45">
        <v>0</v>
      </c>
      <c r="D27" s="46">
        <v>0</v>
      </c>
    </row>
    <row r="28" spans="2:4">
      <c r="B28" s="43">
        <v>46017</v>
      </c>
      <c r="C28" s="45">
        <v>0</v>
      </c>
      <c r="D28" s="46">
        <v>0</v>
      </c>
    </row>
    <row r="29" spans="2:4">
      <c r="B29" s="43">
        <v>46018</v>
      </c>
      <c r="C29" s="45">
        <v>0</v>
      </c>
      <c r="D29" s="46">
        <v>0</v>
      </c>
    </row>
    <row r="30" spans="2:4">
      <c r="B30" s="43">
        <v>46019</v>
      </c>
      <c r="C30" s="45">
        <v>0</v>
      </c>
      <c r="D30" s="46">
        <v>0</v>
      </c>
    </row>
    <row r="31" spans="2:4">
      <c r="B31" s="43">
        <v>46020</v>
      </c>
      <c r="C31" s="45">
        <v>0</v>
      </c>
      <c r="D31" s="46">
        <v>0</v>
      </c>
    </row>
    <row r="32" spans="2:4">
      <c r="B32" s="43">
        <v>46021</v>
      </c>
      <c r="C32" s="45">
        <v>0</v>
      </c>
      <c r="D32" s="46">
        <v>0</v>
      </c>
    </row>
    <row r="33" spans="2:4">
      <c r="B33" s="43">
        <v>46022</v>
      </c>
      <c r="C33" s="45">
        <v>0</v>
      </c>
      <c r="D33" s="46">
        <v>0</v>
      </c>
    </row>
    <row r="34" spans="2:4">
      <c r="B34" s="43">
        <v>46023</v>
      </c>
      <c r="C34" s="45">
        <v>0</v>
      </c>
      <c r="D34" s="46">
        <v>0</v>
      </c>
    </row>
    <row r="35" spans="2:4">
      <c r="B35" s="43">
        <v>46024</v>
      </c>
      <c r="C35" s="44">
        <v>1.18</v>
      </c>
      <c r="D35" s="35">
        <v>35.621307142543252</v>
      </c>
    </row>
    <row r="36" spans="2:4">
      <c r="B36" s="43">
        <v>46025</v>
      </c>
      <c r="C36" s="44">
        <v>1.07</v>
      </c>
      <c r="D36" s="35">
        <v>25.790852300171633</v>
      </c>
    </row>
    <row r="37" spans="2:4">
      <c r="B37" s="43">
        <v>46026</v>
      </c>
      <c r="C37" s="44">
        <v>1</v>
      </c>
      <c r="D37" s="35">
        <v>20.63</v>
      </c>
    </row>
    <row r="38" spans="2:4">
      <c r="B38" s="43">
        <v>46027</v>
      </c>
      <c r="C38" s="44">
        <v>0.96</v>
      </c>
      <c r="D38" s="35">
        <v>18.029940644455898</v>
      </c>
    </row>
    <row r="39" spans="2:4">
      <c r="B39" s="43">
        <v>46028</v>
      </c>
      <c r="C39" s="44">
        <v>0.97</v>
      </c>
      <c r="D39" s="35">
        <v>18.657177831792293</v>
      </c>
    </row>
    <row r="40" spans="2:4">
      <c r="B40" s="43">
        <v>46029</v>
      </c>
      <c r="C40" s="44">
        <v>0.87</v>
      </c>
      <c r="D40" s="35">
        <v>13.02905032671767</v>
      </c>
    </row>
    <row r="41" spans="2:4">
      <c r="B41" s="43">
        <v>46030</v>
      </c>
      <c r="C41" s="44">
        <v>0.8</v>
      </c>
      <c r="D41" s="35">
        <v>9.8786178450333093</v>
      </c>
    </row>
    <row r="42" spans="2:4">
      <c r="B42" s="43">
        <v>46031</v>
      </c>
      <c r="C42" s="44">
        <v>0.77</v>
      </c>
      <c r="D42" s="35">
        <v>8.708004023683106</v>
      </c>
    </row>
    <row r="43" spans="2:4">
      <c r="B43" s="43">
        <v>46032</v>
      </c>
      <c r="C43" s="44">
        <v>0.74</v>
      </c>
      <c r="D43" s="35">
        <v>7.6377229907488333</v>
      </c>
    </row>
    <row r="44" spans="2:4">
      <c r="B44" s="43">
        <v>46033</v>
      </c>
      <c r="C44" s="44">
        <v>0.86</v>
      </c>
      <c r="D44" s="35">
        <v>12.541345059289801</v>
      </c>
    </row>
    <row r="45" spans="2:4">
      <c r="B45" s="43">
        <v>46034</v>
      </c>
      <c r="C45" s="44">
        <v>1.05</v>
      </c>
      <c r="D45" s="35">
        <v>24.233933672431409</v>
      </c>
    </row>
    <row r="46" spans="2:4">
      <c r="B46" s="43">
        <v>46035</v>
      </c>
      <c r="C46" s="44">
        <v>1</v>
      </c>
      <c r="D46" s="35">
        <v>20.63</v>
      </c>
    </row>
    <row r="47" spans="2:4">
      <c r="B47" s="43">
        <v>46036</v>
      </c>
      <c r="C47" s="44">
        <v>0.9</v>
      </c>
      <c r="D47" s="35">
        <v>14.571340577509167</v>
      </c>
    </row>
    <row r="48" spans="2:4">
      <c r="B48" s="43">
        <v>46037</v>
      </c>
      <c r="C48" s="44">
        <v>0.85</v>
      </c>
      <c r="D48" s="35">
        <v>12.066510157909436</v>
      </c>
    </row>
    <row r="49" spans="2:4">
      <c r="B49" s="43">
        <v>46038</v>
      </c>
      <c r="C49" s="44">
        <v>0.99</v>
      </c>
      <c r="D49" s="35">
        <v>19.957005184445247</v>
      </c>
    </row>
    <row r="50" spans="2:4">
      <c r="B50" s="43">
        <v>46039</v>
      </c>
      <c r="C50" s="44">
        <v>1.07</v>
      </c>
      <c r="D50" s="35">
        <v>25.790852300171633</v>
      </c>
    </row>
    <row r="51" spans="2:4">
      <c r="B51" s="43">
        <v>46040</v>
      </c>
      <c r="C51" s="44">
        <v>1.04</v>
      </c>
      <c r="D51" s="35">
        <v>23.480603103968594</v>
      </c>
    </row>
    <row r="52" spans="2:4">
      <c r="B52" s="43">
        <v>46041</v>
      </c>
      <c r="C52" s="44">
        <v>1.04</v>
      </c>
      <c r="D52" s="35">
        <v>23.480603103968594</v>
      </c>
    </row>
    <row r="53" spans="2:4">
      <c r="B53" s="43">
        <v>46042</v>
      </c>
      <c r="C53" s="44">
        <v>1.02</v>
      </c>
      <c r="D53" s="35">
        <v>22.023168154258915</v>
      </c>
    </row>
    <row r="54" spans="2:4">
      <c r="B54" s="43">
        <v>46043</v>
      </c>
      <c r="C54" s="44">
        <v>0.99</v>
      </c>
      <c r="D54" s="35">
        <v>19.957005184445247</v>
      </c>
    </row>
    <row r="55" spans="2:4">
      <c r="B55" s="43">
        <v>46044</v>
      </c>
      <c r="C55" s="44">
        <v>0.95</v>
      </c>
      <c r="D55" s="35">
        <v>17.417552386381871</v>
      </c>
    </row>
    <row r="56" spans="2:4">
      <c r="B56" s="43">
        <v>46045</v>
      </c>
      <c r="C56" s="44">
        <v>0</v>
      </c>
      <c r="D56" s="35">
        <v>0</v>
      </c>
    </row>
    <row r="57" spans="2:4">
      <c r="B57" s="43">
        <v>46046</v>
      </c>
      <c r="C57" s="44">
        <v>0</v>
      </c>
      <c r="D57" s="35">
        <v>0</v>
      </c>
    </row>
    <row r="58" spans="2:4">
      <c r="B58" s="43">
        <v>46047</v>
      </c>
      <c r="C58" s="44">
        <v>0</v>
      </c>
      <c r="D58" s="35">
        <v>0</v>
      </c>
    </row>
    <row r="59" spans="2:4">
      <c r="B59" s="43">
        <v>46048</v>
      </c>
      <c r="C59" s="44">
        <v>0.77</v>
      </c>
      <c r="D59" s="35">
        <v>8.708004023683106</v>
      </c>
    </row>
    <row r="60" spans="2:4">
      <c r="B60" s="43">
        <v>46049</v>
      </c>
      <c r="C60" s="44">
        <v>0.77</v>
      </c>
      <c r="D60" s="35">
        <v>8.708004023683106</v>
      </c>
    </row>
    <row r="61" spans="2:4">
      <c r="B61" s="43">
        <v>46050</v>
      </c>
      <c r="C61" s="44">
        <v>0.74</v>
      </c>
      <c r="D61" s="35">
        <v>7.6377229907488333</v>
      </c>
    </row>
    <row r="62" spans="2:4">
      <c r="B62" s="43">
        <v>46051</v>
      </c>
      <c r="C62" s="44">
        <v>0.74</v>
      </c>
      <c r="D62" s="35">
        <v>7.6377229907488333</v>
      </c>
    </row>
    <row r="63" spans="2:4">
      <c r="B63" s="43">
        <v>46052</v>
      </c>
      <c r="C63" s="44">
        <v>0.7</v>
      </c>
      <c r="D63" s="35">
        <v>6.3580327412203275</v>
      </c>
    </row>
    <row r="64" spans="2:4">
      <c r="B64" s="43">
        <v>46053</v>
      </c>
      <c r="C64" s="44">
        <v>0.68</v>
      </c>
      <c r="D64" s="35">
        <v>5.778014666660197</v>
      </c>
    </row>
    <row r="65" spans="2:4">
      <c r="B65" s="43">
        <v>46054</v>
      </c>
      <c r="C65" s="44">
        <v>0.68</v>
      </c>
      <c r="D65" s="35">
        <v>5.778014666660197</v>
      </c>
    </row>
    <row r="66" spans="2:4">
      <c r="B66" s="43">
        <v>46055</v>
      </c>
      <c r="C66" s="44">
        <v>0.72</v>
      </c>
      <c r="D66" s="35">
        <v>6.9774457127988354</v>
      </c>
    </row>
    <row r="67" spans="2:4">
      <c r="B67" s="43">
        <v>46056</v>
      </c>
      <c r="C67" s="44">
        <v>0.69</v>
      </c>
      <c r="D67" s="35">
        <v>6.0631906928601289</v>
      </c>
    </row>
    <row r="68" spans="2:4">
      <c r="B68" s="43">
        <v>46057</v>
      </c>
      <c r="C68" s="44">
        <v>0.63</v>
      </c>
      <c r="D68" s="35">
        <v>4.4907930429120517</v>
      </c>
    </row>
    <row r="69" spans="2:4">
      <c r="B69" s="43">
        <v>46058</v>
      </c>
      <c r="C69" s="44">
        <v>0.55000000000000004</v>
      </c>
      <c r="D69" s="35">
        <v>2.8687724617202393</v>
      </c>
    </row>
    <row r="70" spans="2:4">
      <c r="B70" s="43">
        <v>46059</v>
      </c>
      <c r="C70" s="44">
        <v>0.55000000000000004</v>
      </c>
      <c r="D70" s="35">
        <v>2.8687724617202393</v>
      </c>
    </row>
    <row r="71" spans="2:4">
      <c r="B71" s="43">
        <v>46060</v>
      </c>
      <c r="C71" s="44">
        <v>0.49</v>
      </c>
      <c r="D71" s="35">
        <v>1.9595046213489911</v>
      </c>
    </row>
    <row r="72" spans="2:4">
      <c r="B72" s="43">
        <v>46061</v>
      </c>
      <c r="C72" s="44">
        <v>0.26</v>
      </c>
      <c r="D72" s="35">
        <v>0.87201637414216537</v>
      </c>
    </row>
    <row r="73" spans="2:4">
      <c r="B73" s="43">
        <v>46062</v>
      </c>
      <c r="C73" s="44">
        <v>0.05</v>
      </c>
      <c r="D73" s="35">
        <v>0.13313150089014791</v>
      </c>
    </row>
    <row r="74" spans="2:4">
      <c r="B74" s="43">
        <v>46063</v>
      </c>
      <c r="C74" s="45">
        <v>0</v>
      </c>
      <c r="D74" s="46">
        <v>0</v>
      </c>
    </row>
    <row r="75" spans="2:4">
      <c r="B75" s="43">
        <v>46064</v>
      </c>
      <c r="C75" s="45">
        <v>0</v>
      </c>
      <c r="D75" s="46">
        <v>0</v>
      </c>
    </row>
    <row r="76" spans="2:4">
      <c r="B76" s="43">
        <v>46065</v>
      </c>
      <c r="C76" s="45">
        <v>0</v>
      </c>
      <c r="D76" s="46">
        <v>0</v>
      </c>
    </row>
    <row r="77" spans="2:4">
      <c r="B77" s="43">
        <v>46066</v>
      </c>
      <c r="C77" s="45">
        <v>0</v>
      </c>
      <c r="D77" s="46">
        <v>0</v>
      </c>
    </row>
    <row r="78" spans="2:4">
      <c r="B78" s="43">
        <v>46067</v>
      </c>
      <c r="C78" s="44">
        <v>0.62</v>
      </c>
      <c r="D78" s="35">
        <v>4.2598254444956689</v>
      </c>
    </row>
    <row r="79" spans="2:4">
      <c r="B79" s="43">
        <v>46068</v>
      </c>
      <c r="C79" s="44">
        <v>0.77</v>
      </c>
      <c r="D79" s="35">
        <v>8.708004023683106</v>
      </c>
    </row>
    <row r="80" spans="2:4">
      <c r="B80" s="43">
        <v>46069</v>
      </c>
      <c r="C80" s="44">
        <v>0.9</v>
      </c>
      <c r="D80" s="35">
        <v>14.571340577509167</v>
      </c>
    </row>
    <row r="81" spans="2:4">
      <c r="B81" s="43">
        <v>46070</v>
      </c>
      <c r="C81" s="44">
        <v>0.72</v>
      </c>
      <c r="D81" s="35">
        <v>6.9774457127988354</v>
      </c>
    </row>
    <row r="82" spans="2:4">
      <c r="B82" s="43">
        <v>46071</v>
      </c>
      <c r="C82" s="44">
        <v>0.66</v>
      </c>
      <c r="D82" s="35">
        <v>5.2359346235132307</v>
      </c>
    </row>
    <row r="83" spans="2:4">
      <c r="B83" s="43">
        <v>46072</v>
      </c>
      <c r="C83" s="44">
        <v>0.62</v>
      </c>
      <c r="D83" s="35">
        <v>4.2598254444956689</v>
      </c>
    </row>
    <row r="84" spans="2:4">
      <c r="B84" s="43">
        <v>46073</v>
      </c>
      <c r="C84" s="44">
        <v>0.5</v>
      </c>
      <c r="D84" s="35">
        <v>2.0945958671036427</v>
      </c>
    </row>
    <row r="85" spans="2:4">
      <c r="B85" s="43">
        <v>46074</v>
      </c>
      <c r="C85" s="44">
        <v>0.35</v>
      </c>
      <c r="D85" s="35">
        <v>1.2237496871206615</v>
      </c>
    </row>
    <row r="86" spans="2:4">
      <c r="B86" s="43">
        <v>46075</v>
      </c>
      <c r="C86" s="44">
        <v>0.64</v>
      </c>
      <c r="D86" s="35">
        <v>4.7303485471745281</v>
      </c>
    </row>
    <row r="87" spans="2:4">
      <c r="B87" s="43">
        <v>46076</v>
      </c>
      <c r="C87" s="44">
        <v>0.45</v>
      </c>
      <c r="D87" s="35">
        <v>1.4794507877755845</v>
      </c>
    </row>
    <row r="88" spans="2:4">
      <c r="B88" s="43">
        <v>46077</v>
      </c>
      <c r="C88" s="44">
        <v>0.61</v>
      </c>
      <c r="D88" s="35">
        <v>4.0372689669132242</v>
      </c>
    </row>
    <row r="89" spans="2:4">
      <c r="B89" s="43">
        <v>46078</v>
      </c>
      <c r="C89" s="44">
        <v>0.44</v>
      </c>
      <c r="D89" s="35">
        <v>1.5885141012269794</v>
      </c>
    </row>
    <row r="90" spans="2:4">
      <c r="B90" s="43">
        <v>46079</v>
      </c>
      <c r="C90" s="44">
        <v>0.19</v>
      </c>
      <c r="D90" s="35">
        <v>0.60986558737648311</v>
      </c>
    </row>
    <row r="91" spans="2:4">
      <c r="B91" s="43">
        <v>46080</v>
      </c>
      <c r="C91" s="44">
        <v>0.03</v>
      </c>
      <c r="D91" s="35">
        <v>7.4365799882514502E-2</v>
      </c>
    </row>
    <row r="92" spans="2:4">
      <c r="B92" s="43">
        <v>46081</v>
      </c>
      <c r="C92" s="45">
        <v>0</v>
      </c>
      <c r="D92" s="46">
        <v>0</v>
      </c>
    </row>
    <row r="93" spans="2:4">
      <c r="B93" s="43">
        <v>46082</v>
      </c>
      <c r="C93" s="45">
        <v>0</v>
      </c>
      <c r="D93" s="46">
        <v>0</v>
      </c>
    </row>
    <row r="94" spans="2:4">
      <c r="B94" s="43">
        <v>46083</v>
      </c>
      <c r="C94" s="45">
        <v>0</v>
      </c>
      <c r="D94" s="46">
        <v>0</v>
      </c>
    </row>
    <row r="95" spans="2:4">
      <c r="B95" s="43">
        <v>46084</v>
      </c>
      <c r="C95" s="44">
        <v>0.05</v>
      </c>
      <c r="D95" s="35">
        <v>0.13313150089014791</v>
      </c>
    </row>
    <row r="96" spans="2:4">
      <c r="B96" s="43">
        <v>46085</v>
      </c>
      <c r="C96" s="44">
        <v>0.03</v>
      </c>
      <c r="D96" s="35">
        <v>7.4365799882514502E-2</v>
      </c>
    </row>
    <row r="97" spans="2:4">
      <c r="B97" s="43">
        <v>46086</v>
      </c>
      <c r="C97" s="44">
        <v>0.08</v>
      </c>
      <c r="D97" s="35">
        <v>0.22749801329625807</v>
      </c>
    </row>
    <row r="98" spans="2:4">
      <c r="B98" s="43">
        <v>46087</v>
      </c>
      <c r="C98" s="44">
        <v>0.5</v>
      </c>
      <c r="D98" s="35">
        <v>2.0945958671036427</v>
      </c>
    </row>
    <row r="99" spans="2:4">
      <c r="B99" s="43">
        <v>46088</v>
      </c>
      <c r="C99" s="44">
        <v>0.34</v>
      </c>
      <c r="D99" s="35">
        <v>1.1839707919003519</v>
      </c>
    </row>
    <row r="100" spans="2:4">
      <c r="B100" s="43">
        <v>46089</v>
      </c>
      <c r="C100" s="44">
        <v>0.16</v>
      </c>
      <c r="D100" s="35">
        <v>0.50136244940582408</v>
      </c>
    </row>
    <row r="101" spans="2:4">
      <c r="B101" s="43">
        <v>46090</v>
      </c>
      <c r="C101" s="44">
        <v>7.0000000000000007E-2</v>
      </c>
      <c r="D101" s="35">
        <v>0.19537400930582027</v>
      </c>
    </row>
    <row r="102" spans="2:4">
      <c r="B102" s="43">
        <v>46091</v>
      </c>
      <c r="C102" s="44">
        <v>7.0000000000000007E-2</v>
      </c>
      <c r="D102" s="35">
        <v>0.19537400930582027</v>
      </c>
    </row>
    <row r="103" spans="2:4">
      <c r="B103" s="43">
        <v>46092</v>
      </c>
      <c r="C103" s="45">
        <v>0</v>
      </c>
      <c r="D103" s="46">
        <v>0</v>
      </c>
    </row>
    <row r="104" spans="2:4">
      <c r="B104" s="43">
        <v>46093</v>
      </c>
      <c r="C104" s="45">
        <v>0</v>
      </c>
      <c r="D104" s="46">
        <v>0</v>
      </c>
    </row>
    <row r="105" spans="2:4">
      <c r="B105" s="43">
        <v>46094</v>
      </c>
      <c r="C105" s="44">
        <v>0.68</v>
      </c>
      <c r="D105" s="35">
        <v>5.778014666660197</v>
      </c>
    </row>
    <row r="106" spans="2:4">
      <c r="B106" s="43">
        <v>46095</v>
      </c>
      <c r="C106" s="44">
        <v>0.69</v>
      </c>
      <c r="D106" s="35">
        <v>6.0631906928601289</v>
      </c>
    </row>
    <row r="107" spans="2:4">
      <c r="B107" s="43">
        <v>46096</v>
      </c>
      <c r="C107" s="44">
        <v>0.66</v>
      </c>
      <c r="D107" s="35">
        <v>5.2359346235132307</v>
      </c>
    </row>
    <row r="108" spans="2:4">
      <c r="B108" s="43">
        <v>46097</v>
      </c>
      <c r="C108" s="44">
        <v>1.05</v>
      </c>
      <c r="D108" s="35">
        <v>24.233933672431409</v>
      </c>
    </row>
    <row r="109" spans="2:4">
      <c r="B109" s="43">
        <v>46098</v>
      </c>
      <c r="C109" s="44">
        <v>0.98</v>
      </c>
      <c r="D109" s="35">
        <v>19.299465339978841</v>
      </c>
    </row>
    <row r="110" spans="2:4">
      <c r="B110" s="43">
        <v>46099</v>
      </c>
      <c r="C110" s="44">
        <v>0.98</v>
      </c>
      <c r="D110" s="35">
        <v>19.299465339978841</v>
      </c>
    </row>
    <row r="111" spans="2:4">
      <c r="B111" s="43">
        <v>46100</v>
      </c>
      <c r="C111" s="44">
        <v>0.98</v>
      </c>
      <c r="D111" s="35">
        <v>19.299465339978841</v>
      </c>
    </row>
    <row r="112" spans="2:4">
      <c r="B112" s="43">
        <v>46101</v>
      </c>
      <c r="C112" s="44">
        <v>0.88</v>
      </c>
      <c r="D112" s="35">
        <v>13.529820849344501</v>
      </c>
    </row>
    <row r="113" spans="2:4">
      <c r="B113" s="43">
        <v>46102</v>
      </c>
      <c r="C113" s="44">
        <v>0.77</v>
      </c>
      <c r="D113" s="35">
        <v>8.708004023683106</v>
      </c>
    </row>
    <row r="114" spans="2:4">
      <c r="B114" s="43">
        <v>46103</v>
      </c>
      <c r="C114" s="44">
        <v>0.77</v>
      </c>
      <c r="D114" s="35">
        <v>8.708004023683106</v>
      </c>
    </row>
    <row r="115" spans="2:4">
      <c r="B115" s="43">
        <v>46104</v>
      </c>
      <c r="C115" s="44">
        <v>0.93</v>
      </c>
      <c r="D115" s="35">
        <v>16.23652023821283</v>
      </c>
    </row>
    <row r="116" spans="2:4">
      <c r="B116" s="43">
        <v>46105</v>
      </c>
      <c r="C116" s="44">
        <v>0.93</v>
      </c>
      <c r="D116" s="35">
        <v>16.23652023821283</v>
      </c>
    </row>
    <row r="117" spans="2:4">
      <c r="B117" s="43">
        <v>46106</v>
      </c>
      <c r="C117" s="44">
        <v>1.1000000000000001</v>
      </c>
      <c r="D117" s="35">
        <v>28.254985515236928</v>
      </c>
    </row>
    <row r="118" spans="2:4">
      <c r="B118" s="43">
        <v>46107</v>
      </c>
      <c r="C118" s="44">
        <v>1.02</v>
      </c>
      <c r="D118" s="35">
        <v>22.023168154258915</v>
      </c>
    </row>
    <row r="119" spans="2:4">
      <c r="B119" s="43">
        <v>46108</v>
      </c>
      <c r="C119" s="44">
        <v>0.98</v>
      </c>
      <c r="D119" s="35">
        <v>19.299465339978841</v>
      </c>
    </row>
    <row r="120" spans="2:4">
      <c r="B120" s="43">
        <v>46109</v>
      </c>
      <c r="C120" s="44">
        <v>0.92</v>
      </c>
      <c r="D120" s="35">
        <v>15.667476725438389</v>
      </c>
    </row>
    <row r="121" spans="2:4">
      <c r="B121" s="43">
        <v>46110</v>
      </c>
      <c r="C121" s="44">
        <v>0.86</v>
      </c>
      <c r="D121" s="35">
        <v>12.541345059289801</v>
      </c>
    </row>
    <row r="122" spans="2:4">
      <c r="B122" s="43">
        <v>46111</v>
      </c>
      <c r="C122" s="44">
        <v>0.94</v>
      </c>
      <c r="D122" s="35">
        <v>16.819812294366397</v>
      </c>
    </row>
    <row r="123" spans="2:4">
      <c r="B123" s="43">
        <v>46112</v>
      </c>
      <c r="C123" s="44">
        <v>0.84</v>
      </c>
      <c r="D123" s="35">
        <v>11.604351412110246</v>
      </c>
    </row>
    <row r="124" spans="2:4">
      <c r="B124" s="43">
        <v>46113</v>
      </c>
      <c r="C124" s="44">
        <v>0.79</v>
      </c>
      <c r="D124" s="35">
        <v>9.4769508711278405</v>
      </c>
    </row>
    <row r="125" spans="2:4">
      <c r="B125" s="43">
        <v>46114</v>
      </c>
      <c r="C125" s="44">
        <v>0.76</v>
      </c>
      <c r="D125" s="35">
        <v>8.3403462831272144</v>
      </c>
    </row>
    <row r="126" spans="2:4">
      <c r="B126" s="43">
        <v>46115</v>
      </c>
      <c r="C126" s="44">
        <v>0.74</v>
      </c>
      <c r="D126" s="35">
        <v>7.6377229907488333</v>
      </c>
    </row>
    <row r="127" spans="2:4">
      <c r="B127" s="43">
        <v>46116</v>
      </c>
      <c r="C127" s="44">
        <v>0.71</v>
      </c>
      <c r="D127" s="35">
        <v>6.66272331786287</v>
      </c>
    </row>
    <row r="128" spans="2:4">
      <c r="B128" s="43">
        <v>46117</v>
      </c>
      <c r="C128" s="44">
        <v>0.7</v>
      </c>
      <c r="D128" s="35">
        <v>6.3580327412203275</v>
      </c>
    </row>
    <row r="129" spans="2:4">
      <c r="B129" s="43">
        <v>46118</v>
      </c>
      <c r="C129" s="44">
        <v>0.68</v>
      </c>
      <c r="D129" s="35">
        <v>5.778014666660197</v>
      </c>
    </row>
    <row r="130" spans="2:4">
      <c r="B130" s="43">
        <v>46119</v>
      </c>
      <c r="C130" s="44">
        <v>0.69</v>
      </c>
      <c r="D130" s="35">
        <v>6.0631906928601289</v>
      </c>
    </row>
    <row r="131" spans="2:4">
      <c r="B131" s="43">
        <v>46120</v>
      </c>
      <c r="C131" s="44">
        <v>0.71</v>
      </c>
      <c r="D131" s="35">
        <v>6.66272331786287</v>
      </c>
    </row>
    <row r="132" spans="2:4">
      <c r="B132" s="43">
        <v>46121</v>
      </c>
      <c r="C132" s="44">
        <v>0.7</v>
      </c>
      <c r="D132" s="35">
        <v>6.3580327412203275</v>
      </c>
    </row>
    <row r="133" spans="2:4">
      <c r="B133" s="43">
        <v>46122</v>
      </c>
      <c r="C133" s="44">
        <v>0.68</v>
      </c>
      <c r="D133" s="35">
        <v>5.778014666660197</v>
      </c>
    </row>
    <row r="134" spans="2:4">
      <c r="B134" s="43">
        <v>46123</v>
      </c>
      <c r="C134" s="44">
        <v>0.65</v>
      </c>
      <c r="D134" s="35">
        <v>4.9786695861912609</v>
      </c>
    </row>
    <row r="135" spans="2:4">
      <c r="B135" s="43">
        <v>46124</v>
      </c>
      <c r="C135" s="44">
        <v>0.64</v>
      </c>
      <c r="D135" s="35">
        <v>4.7303485471745281</v>
      </c>
    </row>
    <row r="136" spans="2:4">
      <c r="B136" s="43">
        <v>46125</v>
      </c>
      <c r="C136" s="44">
        <v>0.65</v>
      </c>
      <c r="D136" s="35">
        <v>4.9786695861912609</v>
      </c>
    </row>
    <row r="137" spans="2:4">
      <c r="B137" s="43">
        <v>46126</v>
      </c>
      <c r="C137" s="44">
        <v>0.66</v>
      </c>
      <c r="D137" s="35">
        <v>5.2359346235132307</v>
      </c>
    </row>
    <row r="138" spans="2:4">
      <c r="B138" s="43">
        <v>46127</v>
      </c>
      <c r="C138" s="44">
        <v>0.66</v>
      </c>
      <c r="D138" s="35">
        <v>5.2359346235132307</v>
      </c>
    </row>
    <row r="139" spans="2:4">
      <c r="B139" s="43">
        <v>46128</v>
      </c>
      <c r="C139" s="44">
        <v>1.33</v>
      </c>
      <c r="D139" s="35">
        <v>52.870040509373666</v>
      </c>
    </row>
    <row r="140" spans="2:4">
      <c r="B140" s="43">
        <v>46129</v>
      </c>
      <c r="C140" s="44">
        <v>0.98</v>
      </c>
      <c r="D140" s="35">
        <v>19.299465339978841</v>
      </c>
    </row>
    <row r="141" spans="2:4">
      <c r="B141" s="43">
        <v>46130</v>
      </c>
      <c r="C141" s="44">
        <v>0.89</v>
      </c>
      <c r="D141" s="35">
        <v>14.043852189536352</v>
      </c>
    </row>
    <row r="142" spans="2:4">
      <c r="B142" s="43">
        <v>46131</v>
      </c>
      <c r="C142" s="44">
        <v>0.81</v>
      </c>
      <c r="D142" s="35">
        <v>10.292000301782124</v>
      </c>
    </row>
    <row r="143" spans="2:4">
      <c r="B143" s="43">
        <v>46132</v>
      </c>
      <c r="C143" s="44">
        <v>0.79</v>
      </c>
      <c r="D143" s="35">
        <v>9.4769508711278405</v>
      </c>
    </row>
    <row r="144" spans="2:4">
      <c r="B144" s="43">
        <v>46133</v>
      </c>
      <c r="C144" s="44">
        <v>0.76</v>
      </c>
      <c r="D144" s="35">
        <v>8.3403462831272144</v>
      </c>
    </row>
    <row r="145" spans="2:4">
      <c r="B145" s="43">
        <v>46134</v>
      </c>
      <c r="C145" s="44">
        <v>0.76</v>
      </c>
      <c r="D145" s="35">
        <v>8.3403462831272144</v>
      </c>
    </row>
    <row r="146" spans="2:4">
      <c r="B146" s="43">
        <v>46135</v>
      </c>
      <c r="C146" s="44">
        <v>0.76</v>
      </c>
      <c r="D146" s="35">
        <v>8.3403462831272144</v>
      </c>
    </row>
    <row r="147" spans="2:4">
      <c r="B147" s="43">
        <v>46136</v>
      </c>
      <c r="C147" s="44">
        <v>1</v>
      </c>
      <c r="D147" s="35">
        <v>20.63</v>
      </c>
    </row>
    <row r="148" spans="2:4">
      <c r="B148" s="43">
        <v>46137</v>
      </c>
      <c r="C148" s="44">
        <v>1.05</v>
      </c>
      <c r="D148" s="35">
        <v>24.233933672431409</v>
      </c>
    </row>
    <row r="149" spans="2:4">
      <c r="B149" s="43">
        <v>46138</v>
      </c>
      <c r="C149" s="44">
        <v>1</v>
      </c>
      <c r="D149" s="35">
        <v>20.63</v>
      </c>
    </row>
    <row r="150" spans="2:4">
      <c r="B150" s="43">
        <v>46139</v>
      </c>
      <c r="C150" s="44">
        <v>0.92</v>
      </c>
      <c r="D150" s="35">
        <v>15.667476725438389</v>
      </c>
    </row>
    <row r="151" spans="2:4">
      <c r="B151" s="43">
        <v>46140</v>
      </c>
      <c r="C151" s="44">
        <v>0.92</v>
      </c>
      <c r="D151" s="35">
        <v>15.667476725438389</v>
      </c>
    </row>
    <row r="152" spans="2:4">
      <c r="B152" s="43">
        <v>46141</v>
      </c>
      <c r="C152" s="44">
        <v>0.83</v>
      </c>
      <c r="D152" s="35">
        <v>11.154675295690847</v>
      </c>
    </row>
    <row r="153" spans="2:4">
      <c r="B153" s="43">
        <v>46142</v>
      </c>
      <c r="C153" s="44">
        <v>0.8</v>
      </c>
      <c r="D153" s="35">
        <v>9.8786178450333093</v>
      </c>
    </row>
    <row r="154" spans="2:4">
      <c r="B154" s="43">
        <v>46143</v>
      </c>
      <c r="C154" s="35">
        <v>0.81</v>
      </c>
      <c r="D154" s="35">
        <v>3.8567481324195021</v>
      </c>
    </row>
    <row r="155" spans="2:4">
      <c r="B155" s="43">
        <v>46144</v>
      </c>
      <c r="C155" s="35">
        <v>0.79</v>
      </c>
      <c r="D155" s="35">
        <v>3.5230238237699401</v>
      </c>
    </row>
    <row r="156" spans="2:4">
      <c r="B156" s="43">
        <v>46145</v>
      </c>
      <c r="C156" s="35">
        <v>0.77</v>
      </c>
      <c r="D156" s="35">
        <v>3.2107163134950687</v>
      </c>
    </row>
    <row r="157" spans="2:4">
      <c r="B157" s="43">
        <v>46146</v>
      </c>
      <c r="C157" s="35">
        <v>0.74</v>
      </c>
      <c r="D157" s="35">
        <v>2.7805091909922015</v>
      </c>
    </row>
    <row r="158" spans="2:4">
      <c r="B158" s="43">
        <v>46147</v>
      </c>
      <c r="C158" s="35">
        <v>0.73</v>
      </c>
      <c r="D158" s="35">
        <v>2.6468800657466907</v>
      </c>
    </row>
    <row r="159" spans="2:4">
      <c r="B159" s="43">
        <v>46148</v>
      </c>
      <c r="C159" s="35">
        <v>0.78</v>
      </c>
      <c r="D159" s="35">
        <v>3.3642477551562138</v>
      </c>
    </row>
    <row r="160" spans="2:4">
      <c r="B160" s="43">
        <v>46149</v>
      </c>
      <c r="C160" s="35">
        <v>0.8</v>
      </c>
      <c r="D160" s="35">
        <v>3.6871538765653491</v>
      </c>
    </row>
    <row r="161" spans="2:4">
      <c r="B161" s="43">
        <v>46150</v>
      </c>
      <c r="C161" s="35">
        <v>0.79</v>
      </c>
      <c r="D161" s="35">
        <v>3.5230238237699401</v>
      </c>
    </row>
    <row r="162" spans="2:4">
      <c r="B162" s="43">
        <v>46151</v>
      </c>
      <c r="C162" s="35">
        <v>0.76</v>
      </c>
      <c r="D162" s="35">
        <v>3.0623210073868763</v>
      </c>
    </row>
    <row r="163" spans="2:4">
      <c r="B163" s="43">
        <v>46152</v>
      </c>
      <c r="C163" s="35">
        <v>0.74</v>
      </c>
      <c r="D163" s="35">
        <v>2.7805091909922015</v>
      </c>
    </row>
    <row r="164" spans="2:4">
      <c r="B164" s="43">
        <v>46153</v>
      </c>
      <c r="C164" s="35">
        <v>0.72</v>
      </c>
      <c r="D164" s="35">
        <v>2.5179618550431586</v>
      </c>
    </row>
    <row r="165" spans="2:4">
      <c r="B165" s="43">
        <v>46154</v>
      </c>
      <c r="C165" s="35">
        <v>0.72</v>
      </c>
      <c r="D165" s="35">
        <v>2.5179618550431586</v>
      </c>
    </row>
    <row r="166" spans="2:4">
      <c r="B166" s="43">
        <v>46155</v>
      </c>
      <c r="C166" s="35">
        <v>0.7</v>
      </c>
      <c r="D166" s="35">
        <v>2.2105204830874707</v>
      </c>
    </row>
    <row r="167" spans="2:4">
      <c r="B167" s="43">
        <v>46156</v>
      </c>
      <c r="C167" s="35">
        <v>0.69</v>
      </c>
      <c r="D167" s="35">
        <v>2.1623881419246898</v>
      </c>
    </row>
    <row r="168" spans="2:4">
      <c r="B168" s="43">
        <v>46157</v>
      </c>
      <c r="C168" s="35">
        <v>0.68</v>
      </c>
      <c r="D168" s="35">
        <v>2.1146241061075268</v>
      </c>
    </row>
    <row r="169" spans="2:4">
      <c r="B169" s="43">
        <v>46158</v>
      </c>
      <c r="C169" s="35">
        <v>0.67</v>
      </c>
      <c r="D169" s="35">
        <v>2.067230911561964</v>
      </c>
    </row>
    <row r="170" spans="2:4">
      <c r="B170" s="43">
        <v>46159</v>
      </c>
      <c r="C170" s="35">
        <v>0.67</v>
      </c>
      <c r="D170" s="35">
        <v>2.067230911561964</v>
      </c>
    </row>
    <row r="171" spans="2:4">
      <c r="B171" s="43">
        <v>46160</v>
      </c>
      <c r="C171" s="35">
        <v>0.67</v>
      </c>
      <c r="D171" s="35">
        <v>2.067230911561964</v>
      </c>
    </row>
    <row r="172" spans="2:4">
      <c r="B172" s="43">
        <v>46161</v>
      </c>
      <c r="C172" s="35">
        <v>0.64</v>
      </c>
      <c r="D172" s="35">
        <v>1.9273025787138411</v>
      </c>
    </row>
    <row r="173" spans="2:4">
      <c r="B173" s="43">
        <v>46162</v>
      </c>
      <c r="C173" s="35">
        <v>0.64</v>
      </c>
      <c r="D173" s="35">
        <v>1.9273025787138411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D785"/>
  <sheetViews>
    <sheetView workbookViewId="0">
      <selection activeCell="C3" sqref="C3"/>
    </sheetView>
  </sheetViews>
  <sheetFormatPr defaultColWidth="9" defaultRowHeight="14.5"/>
  <cols>
    <col min="1" max="2" width="18.26953125" style="1" customWidth="1"/>
    <col min="3" max="3" width="15.81640625" style="17" customWidth="1"/>
    <col min="4" max="16384" width="9" style="1"/>
  </cols>
  <sheetData>
    <row r="2" spans="1:3" ht="34" customHeight="1">
      <c r="A2" s="2" t="s">
        <v>0</v>
      </c>
      <c r="B2" s="3" t="s">
        <v>1</v>
      </c>
      <c r="C2" s="18" t="s">
        <v>4</v>
      </c>
    </row>
    <row r="3" spans="1:3">
      <c r="A3" s="4"/>
      <c r="B3" s="4"/>
      <c r="C3" s="6"/>
    </row>
    <row r="4" spans="1:3">
      <c r="A4" s="5">
        <v>45972</v>
      </c>
      <c r="B4" s="6">
        <v>7.0000000000000007E-2</v>
      </c>
      <c r="C4" s="7">
        <f>3.397*0.18^1.44</f>
        <v>0.28753317121132499</v>
      </c>
    </row>
    <row r="5" spans="1:3">
      <c r="A5" s="5">
        <v>45973</v>
      </c>
      <c r="B5" s="6">
        <v>7.0000000000000007E-2</v>
      </c>
      <c r="C5" s="7">
        <f>3.397*0.17^1.44</f>
        <v>0.264814641651129</v>
      </c>
    </row>
    <row r="6" spans="1:3">
      <c r="A6" s="5">
        <v>45974</v>
      </c>
      <c r="B6" s="6">
        <v>7.0000000000000007E-2</v>
      </c>
      <c r="C6" s="7">
        <f>3.397*0.16^1.44</f>
        <v>0.242676834815517</v>
      </c>
    </row>
    <row r="7" spans="1:3">
      <c r="A7" s="5">
        <v>45975</v>
      </c>
      <c r="B7" s="6">
        <v>7.0000000000000007E-2</v>
      </c>
      <c r="C7" s="7">
        <f>3.397*0.19^1.44</f>
        <v>0.31081411432156503</v>
      </c>
    </row>
    <row r="8" spans="1:3">
      <c r="A8" s="5">
        <v>45976</v>
      </c>
      <c r="B8" s="6">
        <v>7.0000000000000007E-2</v>
      </c>
      <c r="C8" s="7">
        <f>15.34*0.44^2.74</f>
        <v>1.6176542131284899</v>
      </c>
    </row>
    <row r="9" spans="1:3">
      <c r="A9" s="5">
        <v>45977</v>
      </c>
      <c r="B9" s="6">
        <v>7.0000000000000007E-2</v>
      </c>
      <c r="C9" s="8">
        <f>15.34*0.55^1.44</f>
        <v>6.4855622549533001</v>
      </c>
    </row>
    <row r="10" spans="1:3">
      <c r="A10" s="5">
        <v>45978</v>
      </c>
      <c r="B10" s="6">
        <v>7.0000000000000007E-2</v>
      </c>
      <c r="C10" s="8">
        <f>15.34*0.55^1.44</f>
        <v>6.4855622549533001</v>
      </c>
    </row>
    <row r="11" spans="1:3">
      <c r="A11" s="5">
        <v>45979</v>
      </c>
      <c r="B11" s="6">
        <v>7.0000000000000007E-2</v>
      </c>
      <c r="C11" s="8">
        <f t="shared" ref="C11:C15" si="0">15.34*0.44^1.44</f>
        <v>4.7032407903374498</v>
      </c>
    </row>
    <row r="12" spans="1:3">
      <c r="A12" s="5">
        <v>45980</v>
      </c>
      <c r="B12" s="6">
        <v>7.0000000000000007E-2</v>
      </c>
      <c r="C12" s="8">
        <f>15.34*0.45^1.44</f>
        <v>4.85793141915339</v>
      </c>
    </row>
    <row r="13" spans="1:3">
      <c r="A13" s="5">
        <v>45981</v>
      </c>
      <c r="B13" s="6">
        <v>7.0000000000000007E-2</v>
      </c>
      <c r="C13" s="8">
        <f>15.34*0.38^1.44</f>
        <v>3.8081473008323301</v>
      </c>
    </row>
    <row r="14" spans="1:3">
      <c r="A14" s="5">
        <v>45982</v>
      </c>
      <c r="B14" s="6">
        <v>7.0000000000000007E-2</v>
      </c>
      <c r="C14" s="8">
        <f t="shared" si="0"/>
        <v>4.7032407903374498</v>
      </c>
    </row>
    <row r="15" spans="1:3">
      <c r="A15" s="5">
        <v>45983</v>
      </c>
      <c r="B15" s="6">
        <v>7.0000000000000007E-2</v>
      </c>
      <c r="C15" s="8">
        <f t="shared" si="0"/>
        <v>4.7032407903374498</v>
      </c>
    </row>
    <row r="16" spans="1:3">
      <c r="A16" s="5">
        <v>45984</v>
      </c>
      <c r="B16" s="6">
        <v>7.0000000000000007E-2</v>
      </c>
      <c r="C16" s="8">
        <f>15.34*0.35^1.44</f>
        <v>3.3828546926563701</v>
      </c>
    </row>
    <row r="17" spans="1:3">
      <c r="A17" s="5">
        <v>45985</v>
      </c>
      <c r="B17" s="6">
        <v>7.0000000000000007E-2</v>
      </c>
      <c r="C17" s="8">
        <f>15.34*0.44^1.44</f>
        <v>4.7032407903374498</v>
      </c>
    </row>
    <row r="18" spans="1:3">
      <c r="A18" s="5">
        <v>45986</v>
      </c>
      <c r="B18" s="6">
        <v>7.0000000000000007E-2</v>
      </c>
      <c r="C18" s="8">
        <f>15.34*0.48^1.44</f>
        <v>5.33104982366818</v>
      </c>
    </row>
    <row r="19" spans="1:3">
      <c r="A19" s="5">
        <v>45987</v>
      </c>
      <c r="B19" s="6">
        <v>7.0000000000000007E-2</v>
      </c>
      <c r="C19" s="8">
        <f>15.34*0.4^1.44</f>
        <v>4.1000744908299502</v>
      </c>
    </row>
    <row r="20" spans="1:3">
      <c r="A20" s="5">
        <v>45988</v>
      </c>
      <c r="B20" s="6">
        <v>7.0000000000000007E-2</v>
      </c>
      <c r="C20" s="8">
        <f>15.34*0.36^1.44</f>
        <v>3.52290523304654</v>
      </c>
    </row>
    <row r="21" spans="1:3">
      <c r="A21" s="5">
        <v>45989</v>
      </c>
      <c r="B21" s="6">
        <v>7.0000000000000007E-2</v>
      </c>
      <c r="C21" s="8">
        <v>4.7839999999999998</v>
      </c>
    </row>
    <row r="22" spans="1:3">
      <c r="A22" s="5">
        <v>45990</v>
      </c>
      <c r="B22" s="6">
        <v>7.0000000000000007E-2</v>
      </c>
      <c r="C22" s="8">
        <v>6.1749999999999998</v>
      </c>
    </row>
    <row r="23" spans="1:3">
      <c r="A23" s="5">
        <v>45991</v>
      </c>
      <c r="B23" s="6">
        <v>7.0000000000000007E-2</v>
      </c>
      <c r="C23" s="8">
        <v>3.794</v>
      </c>
    </row>
    <row r="24" spans="1:3">
      <c r="A24" s="5">
        <v>45992</v>
      </c>
      <c r="B24" s="6">
        <v>7.0000000000000007E-2</v>
      </c>
      <c r="C24" s="8">
        <v>2.859</v>
      </c>
    </row>
    <row r="25" spans="1:3">
      <c r="A25" s="5">
        <v>45993</v>
      </c>
      <c r="B25" s="6">
        <v>7.0000000000000007E-2</v>
      </c>
      <c r="C25" s="8">
        <v>2.8220000000000001</v>
      </c>
    </row>
    <row r="26" spans="1:3">
      <c r="A26" s="5">
        <v>45994</v>
      </c>
      <c r="B26" s="6">
        <v>7.0000000000000007E-2</v>
      </c>
      <c r="C26" s="8">
        <v>2.98</v>
      </c>
    </row>
    <row r="27" spans="1:3">
      <c r="A27" s="5">
        <v>45995</v>
      </c>
      <c r="B27" s="6">
        <v>7.0000000000000007E-2</v>
      </c>
      <c r="C27" s="8">
        <v>2.8439999999999999</v>
      </c>
    </row>
    <row r="28" spans="1:3">
      <c r="A28" s="5">
        <v>45996</v>
      </c>
      <c r="B28" s="6">
        <v>7.0000000000000007E-2</v>
      </c>
      <c r="C28" s="9">
        <v>0.85</v>
      </c>
    </row>
    <row r="29" spans="1:3">
      <c r="A29" s="5">
        <v>45997</v>
      </c>
      <c r="B29" s="6">
        <v>7.0000000000000007E-2</v>
      </c>
      <c r="C29" s="9">
        <v>0.746</v>
      </c>
    </row>
    <row r="30" spans="1:3">
      <c r="A30" s="5">
        <v>45998</v>
      </c>
      <c r="B30" s="6">
        <v>7.0000000000000007E-2</v>
      </c>
      <c r="C30" s="9">
        <v>0.91200000000000003</v>
      </c>
    </row>
    <row r="31" spans="1:3">
      <c r="A31" s="5">
        <v>45999</v>
      </c>
      <c r="B31" s="6">
        <v>7.0000000000000007E-2</v>
      </c>
      <c r="C31" s="9">
        <v>0.88600000000000001</v>
      </c>
    </row>
    <row r="32" spans="1:3">
      <c r="A32" s="5">
        <v>46000</v>
      </c>
      <c r="B32" s="6">
        <v>7.0000000000000007E-2</v>
      </c>
      <c r="C32" s="9">
        <v>0.73599999999999999</v>
      </c>
    </row>
    <row r="33" spans="1:3">
      <c r="A33" s="5">
        <v>46001</v>
      </c>
      <c r="B33" s="6">
        <v>7.0000000000000007E-2</v>
      </c>
      <c r="C33" s="9">
        <v>0.72699999999999998</v>
      </c>
    </row>
    <row r="34" spans="1:3">
      <c r="A34" s="5">
        <v>46002</v>
      </c>
      <c r="B34" s="6">
        <v>7.0000000000000007E-2</v>
      </c>
      <c r="C34" s="9">
        <v>0.65</v>
      </c>
    </row>
    <row r="35" spans="1:3">
      <c r="A35" s="5">
        <v>46003</v>
      </c>
      <c r="B35" s="6">
        <v>7.0000000000000007E-2</v>
      </c>
      <c r="C35" s="9">
        <v>0.60799999999999998</v>
      </c>
    </row>
    <row r="36" spans="1:3">
      <c r="A36" s="5">
        <v>46004</v>
      </c>
      <c r="B36" s="6">
        <v>7.0000000000000007E-2</v>
      </c>
      <c r="C36" s="9">
        <v>0.58499999999999996</v>
      </c>
    </row>
    <row r="37" spans="1:3">
      <c r="A37" s="5">
        <v>46005</v>
      </c>
      <c r="B37" s="6">
        <v>7.0000000000000007E-2</v>
      </c>
      <c r="C37" s="9">
        <v>0.59299999999999997</v>
      </c>
    </row>
    <row r="38" spans="1:3">
      <c r="A38" s="5">
        <v>46006</v>
      </c>
      <c r="B38" s="6">
        <v>7.0000000000000007E-2</v>
      </c>
      <c r="C38" s="9">
        <v>0.60199999999999998</v>
      </c>
    </row>
    <row r="39" spans="1:3">
      <c r="A39" s="5">
        <v>46007</v>
      </c>
      <c r="B39" s="6">
        <v>7.0000000000000007E-2</v>
      </c>
      <c r="C39" s="9">
        <v>0.57299999999999995</v>
      </c>
    </row>
    <row r="40" spans="1:3">
      <c r="A40" s="5">
        <v>46008</v>
      </c>
      <c r="B40" s="6">
        <v>7.0000000000000007E-2</v>
      </c>
      <c r="C40" s="9">
        <v>0.55200000000000005</v>
      </c>
    </row>
    <row r="41" spans="1:3">
      <c r="A41" s="5">
        <v>46009</v>
      </c>
      <c r="B41" s="6">
        <v>7.0000000000000007E-2</v>
      </c>
      <c r="C41" s="9">
        <v>1.002</v>
      </c>
    </row>
    <row r="42" spans="1:3">
      <c r="A42" s="5">
        <v>46010</v>
      </c>
      <c r="B42" s="6">
        <v>7.0000000000000007E-2</v>
      </c>
      <c r="C42" s="9">
        <v>0.88300000000000001</v>
      </c>
    </row>
    <row r="43" spans="1:3">
      <c r="A43" s="5">
        <v>46011</v>
      </c>
      <c r="B43" s="6">
        <v>7.0000000000000007E-2</v>
      </c>
      <c r="C43" s="9">
        <v>0.69899999999999995</v>
      </c>
    </row>
    <row r="44" spans="1:3">
      <c r="A44" s="5">
        <v>46012</v>
      </c>
      <c r="B44" s="6">
        <v>7.0000000000000007E-2</v>
      </c>
      <c r="C44" s="9">
        <v>0.59099999999999997</v>
      </c>
    </row>
    <row r="45" spans="1:3">
      <c r="A45" s="5">
        <v>46013</v>
      </c>
      <c r="B45" s="6">
        <v>7.0000000000000007E-2</v>
      </c>
      <c r="C45" s="9">
        <v>0.57999999999999996</v>
      </c>
    </row>
    <row r="46" spans="1:3">
      <c r="A46" s="5">
        <v>46014</v>
      </c>
      <c r="B46" s="6">
        <v>7.0000000000000007E-2</v>
      </c>
      <c r="C46" s="9">
        <v>0.58599999999999997</v>
      </c>
    </row>
    <row r="47" spans="1:3">
      <c r="A47" s="5">
        <v>46015</v>
      </c>
      <c r="B47" s="6">
        <v>7.0000000000000007E-2</v>
      </c>
      <c r="C47" s="9">
        <v>0.57699999999999996</v>
      </c>
    </row>
    <row r="48" spans="1:3">
      <c r="A48" s="5">
        <v>46016</v>
      </c>
      <c r="B48" s="6">
        <v>7.0000000000000007E-2</v>
      </c>
      <c r="C48" s="9">
        <v>0.56499999999999995</v>
      </c>
    </row>
    <row r="49" spans="1:3">
      <c r="A49" s="5">
        <v>46017</v>
      </c>
      <c r="B49" s="6">
        <v>7.0000000000000007E-2</v>
      </c>
      <c r="C49" s="9">
        <v>0.95</v>
      </c>
    </row>
    <row r="50" spans="1:3">
      <c r="A50" s="5">
        <v>46018</v>
      </c>
      <c r="B50" s="6">
        <v>7.0000000000000007E-2</v>
      </c>
      <c r="C50" s="9">
        <v>2.1360000000000001</v>
      </c>
    </row>
    <row r="51" spans="1:3">
      <c r="A51" s="5">
        <v>46019</v>
      </c>
      <c r="B51" s="6">
        <v>7.0000000000000007E-2</v>
      </c>
      <c r="C51" s="9">
        <v>11.124000000000001</v>
      </c>
    </row>
    <row r="52" spans="1:3">
      <c r="A52" s="5">
        <v>46020</v>
      </c>
      <c r="B52" s="6">
        <v>7.0000000000000007E-2</v>
      </c>
      <c r="C52" s="9">
        <v>7.7210000000000001</v>
      </c>
    </row>
    <row r="53" spans="1:3">
      <c r="A53" s="5">
        <v>46021</v>
      </c>
      <c r="B53" s="6">
        <v>7.0000000000000007E-2</v>
      </c>
      <c r="C53" s="9">
        <v>2.778</v>
      </c>
    </row>
    <row r="54" spans="1:3">
      <c r="A54" s="5">
        <v>46022</v>
      </c>
      <c r="B54" s="6">
        <v>7.0000000000000007E-2</v>
      </c>
      <c r="C54" s="9">
        <v>1.577</v>
      </c>
    </row>
    <row r="55" spans="1:3">
      <c r="A55" s="5">
        <v>46023</v>
      </c>
      <c r="B55" s="6">
        <v>7.0000000000000007E-2</v>
      </c>
      <c r="C55" s="9">
        <v>7.585</v>
      </c>
    </row>
    <row r="56" spans="1:3">
      <c r="A56" s="5">
        <v>46024</v>
      </c>
      <c r="B56" s="6">
        <v>7.0000000000000007E-2</v>
      </c>
      <c r="C56" s="9">
        <v>7.7930000000000001</v>
      </c>
    </row>
    <row r="57" spans="1:3">
      <c r="A57" s="5">
        <v>46025</v>
      </c>
      <c r="B57" s="6">
        <v>7.0000000000000007E-2</v>
      </c>
      <c r="C57" s="9">
        <v>3.0009999999999999</v>
      </c>
    </row>
    <row r="58" spans="1:3">
      <c r="A58" s="5">
        <v>46026</v>
      </c>
      <c r="B58" s="6">
        <v>7.0000000000000007E-2</v>
      </c>
      <c r="C58" s="9">
        <v>1.869</v>
      </c>
    </row>
    <row r="59" spans="1:3">
      <c r="A59" s="5">
        <v>46027</v>
      </c>
      <c r="B59" s="6">
        <v>7.0000000000000007E-2</v>
      </c>
      <c r="C59" s="9">
        <v>1.488</v>
      </c>
    </row>
    <row r="60" spans="1:3">
      <c r="A60" s="5">
        <v>46028</v>
      </c>
      <c r="B60" s="6">
        <v>7.0000000000000007E-2</v>
      </c>
      <c r="C60" s="9">
        <v>2.2189999999999999</v>
      </c>
    </row>
    <row r="61" spans="1:3">
      <c r="A61" s="5">
        <v>46029</v>
      </c>
      <c r="B61" s="6">
        <v>7.0000000000000007E-2</v>
      </c>
      <c r="C61" s="9">
        <v>1.446</v>
      </c>
    </row>
    <row r="62" spans="1:3">
      <c r="A62" s="5">
        <v>46030</v>
      </c>
      <c r="B62" s="6">
        <v>7.0000000000000007E-2</v>
      </c>
      <c r="C62" s="9">
        <v>1.238</v>
      </c>
    </row>
    <row r="63" spans="1:3">
      <c r="A63" s="5">
        <v>46031</v>
      </c>
      <c r="B63" s="6">
        <v>7.0000000000000007E-2</v>
      </c>
      <c r="C63" s="9">
        <v>1.071</v>
      </c>
    </row>
    <row r="64" spans="1:3">
      <c r="A64" s="5">
        <v>46032</v>
      </c>
      <c r="B64" s="6">
        <v>7.0000000000000007E-2</v>
      </c>
      <c r="C64" s="9">
        <v>0.998</v>
      </c>
    </row>
    <row r="65" spans="1:3">
      <c r="A65" s="5">
        <v>46033</v>
      </c>
      <c r="B65" s="6">
        <v>7.0000000000000007E-2</v>
      </c>
      <c r="C65" s="9">
        <v>1.427</v>
      </c>
    </row>
    <row r="66" spans="1:3">
      <c r="A66" s="5">
        <v>46034</v>
      </c>
      <c r="B66" s="6">
        <v>7.0000000000000007E-2</v>
      </c>
      <c r="C66" s="9">
        <v>2.036</v>
      </c>
    </row>
    <row r="67" spans="1:3">
      <c r="A67" s="5">
        <v>46035</v>
      </c>
      <c r="B67" s="6">
        <v>7.0000000000000007E-2</v>
      </c>
      <c r="C67" s="9">
        <v>1.512</v>
      </c>
    </row>
    <row r="68" spans="1:3">
      <c r="A68" s="5">
        <v>46036</v>
      </c>
      <c r="B68" s="6">
        <v>7.0000000000000007E-2</v>
      </c>
      <c r="C68" s="9">
        <v>1.218</v>
      </c>
    </row>
    <row r="69" spans="1:3">
      <c r="A69" s="5">
        <v>46037</v>
      </c>
      <c r="B69" s="6">
        <v>7.0000000000000007E-2</v>
      </c>
      <c r="C69" s="9">
        <v>1.0960000000000001</v>
      </c>
    </row>
    <row r="70" spans="1:3">
      <c r="A70" s="5">
        <v>46038</v>
      </c>
      <c r="B70" s="6">
        <v>7.0000000000000007E-2</v>
      </c>
      <c r="C70" s="9">
        <v>2.8</v>
      </c>
    </row>
    <row r="71" spans="1:3">
      <c r="A71" s="5">
        <v>46039</v>
      </c>
      <c r="B71" s="6">
        <v>7.0000000000000007E-2</v>
      </c>
      <c r="C71" s="9">
        <v>2.552</v>
      </c>
    </row>
    <row r="72" spans="1:3">
      <c r="A72" s="5">
        <v>46040</v>
      </c>
      <c r="B72" s="6">
        <v>7.0000000000000007E-2</v>
      </c>
      <c r="C72" s="9">
        <v>2.262</v>
      </c>
    </row>
    <row r="73" spans="1:3">
      <c r="A73" s="5">
        <v>46041</v>
      </c>
      <c r="B73" s="6">
        <v>7.0000000000000007E-2</v>
      </c>
      <c r="C73" s="9">
        <v>1.9039999999999999</v>
      </c>
    </row>
    <row r="74" spans="1:3">
      <c r="A74" s="5">
        <v>46042</v>
      </c>
      <c r="B74" s="6">
        <v>7.0000000000000007E-2</v>
      </c>
      <c r="C74" s="9">
        <v>1.5429999999999999</v>
      </c>
    </row>
    <row r="75" spans="1:3">
      <c r="A75" s="5">
        <v>46043</v>
      </c>
      <c r="B75" s="6">
        <v>7.0000000000000007E-2</v>
      </c>
      <c r="C75" s="9">
        <v>1.3120000000000001</v>
      </c>
    </row>
    <row r="76" spans="1:3">
      <c r="A76" s="5">
        <v>46044</v>
      </c>
      <c r="B76" s="6">
        <v>7.0000000000000007E-2</v>
      </c>
      <c r="C76" s="9">
        <v>1.1850000000000001</v>
      </c>
    </row>
    <row r="77" spans="1:3">
      <c r="A77" s="5">
        <v>46045</v>
      </c>
      <c r="B77" s="6">
        <v>7.0000000000000007E-2</v>
      </c>
      <c r="C77" s="9">
        <v>1.0609999999999999</v>
      </c>
    </row>
    <row r="78" spans="1:3">
      <c r="A78" s="5">
        <v>46046</v>
      </c>
      <c r="B78" s="6">
        <v>7.0000000000000007E-2</v>
      </c>
      <c r="C78" s="9">
        <v>0.97099999999999997</v>
      </c>
    </row>
    <row r="79" spans="1:3">
      <c r="A79" s="5">
        <v>46047</v>
      </c>
      <c r="B79" s="6">
        <v>7.0000000000000007E-2</v>
      </c>
      <c r="C79" s="9">
        <v>0.91700000000000004</v>
      </c>
    </row>
    <row r="80" spans="1:3">
      <c r="A80" s="5">
        <v>46048</v>
      </c>
      <c r="B80" s="6">
        <v>7.0000000000000007E-2</v>
      </c>
      <c r="C80" s="9">
        <v>0.85499999999999998</v>
      </c>
    </row>
    <row r="81" spans="1:3">
      <c r="A81" s="5">
        <v>46049</v>
      </c>
      <c r="B81" s="6">
        <v>7.0000000000000007E-2</v>
      </c>
      <c r="C81" s="9">
        <v>0.80700000000000005</v>
      </c>
    </row>
    <row r="82" spans="1:3">
      <c r="A82" s="5">
        <v>46050</v>
      </c>
      <c r="B82" s="6">
        <v>7.0000000000000007E-2</v>
      </c>
      <c r="C82" s="9">
        <v>0.79</v>
      </c>
    </row>
    <row r="83" spans="1:3">
      <c r="A83" s="5">
        <v>46051</v>
      </c>
      <c r="B83" s="6">
        <v>7.0000000000000007E-2</v>
      </c>
      <c r="C83" s="9">
        <v>0.79</v>
      </c>
    </row>
    <row r="84" spans="1:3">
      <c r="A84" s="5">
        <v>46052</v>
      </c>
      <c r="B84" s="6">
        <v>7.0000000000000007E-2</v>
      </c>
      <c r="C84" s="9">
        <v>0.74</v>
      </c>
    </row>
    <row r="85" spans="1:3">
      <c r="A85" s="5">
        <v>46053</v>
      </c>
      <c r="B85" s="6">
        <v>7.0000000000000007E-2</v>
      </c>
      <c r="C85" s="9">
        <v>0.73</v>
      </c>
    </row>
    <row r="86" spans="1:3">
      <c r="A86" s="5">
        <v>46054</v>
      </c>
      <c r="B86" s="6">
        <v>7.0000000000000007E-2</v>
      </c>
      <c r="C86" s="9">
        <v>0.84</v>
      </c>
    </row>
    <row r="87" spans="1:3">
      <c r="A87" s="5">
        <v>46055</v>
      </c>
      <c r="B87" s="6">
        <v>7.0000000000000007E-2</v>
      </c>
      <c r="C87" s="9">
        <v>0.86</v>
      </c>
    </row>
    <row r="88" spans="1:3">
      <c r="A88" s="5">
        <v>46056</v>
      </c>
      <c r="B88" s="6">
        <v>7.0000000000000007E-2</v>
      </c>
      <c r="C88" s="9">
        <v>0.89</v>
      </c>
    </row>
    <row r="89" spans="1:3">
      <c r="A89" s="5">
        <v>46057</v>
      </c>
      <c r="B89" s="6">
        <v>7.0000000000000007E-2</v>
      </c>
      <c r="C89" s="9">
        <v>1.04</v>
      </c>
    </row>
    <row r="90" spans="1:3">
      <c r="A90" s="5">
        <v>46058</v>
      </c>
      <c r="B90" s="6">
        <v>7.0000000000000007E-2</v>
      </c>
      <c r="C90" s="9">
        <v>1.06</v>
      </c>
    </row>
    <row r="91" spans="1:3">
      <c r="A91" s="5">
        <v>46059</v>
      </c>
      <c r="B91" s="6">
        <v>7.0000000000000007E-2</v>
      </c>
      <c r="C91" s="9">
        <v>1.1000000000000001</v>
      </c>
    </row>
    <row r="92" spans="1:3">
      <c r="A92" s="5">
        <v>46060</v>
      </c>
      <c r="B92" s="6">
        <v>7.0000000000000007E-2</v>
      </c>
      <c r="C92" s="9">
        <v>1.1100000000000001</v>
      </c>
    </row>
    <row r="93" spans="1:3">
      <c r="A93" s="5">
        <v>46061</v>
      </c>
      <c r="B93" s="6">
        <v>7.0000000000000007E-2</v>
      </c>
      <c r="C93" s="9">
        <v>1.2</v>
      </c>
    </row>
    <row r="94" spans="1:3">
      <c r="A94" s="5">
        <v>46062</v>
      </c>
      <c r="B94" s="6">
        <v>7.0000000000000007E-2</v>
      </c>
      <c r="C94" s="9">
        <v>1.0900000000000001</v>
      </c>
    </row>
    <row r="95" spans="1:3">
      <c r="A95" s="5">
        <v>46063</v>
      </c>
      <c r="B95" s="6">
        <v>7.0000000000000007E-2</v>
      </c>
      <c r="C95" s="9">
        <v>1.04</v>
      </c>
    </row>
    <row r="96" spans="1:3">
      <c r="A96" s="5">
        <v>46064</v>
      </c>
      <c r="B96" s="6">
        <v>7.0000000000000007E-2</v>
      </c>
      <c r="C96" s="9">
        <v>1.01</v>
      </c>
    </row>
    <row r="97" spans="1:3">
      <c r="A97" s="5">
        <v>46065</v>
      </c>
      <c r="B97" s="6">
        <v>7.0000000000000007E-2</v>
      </c>
      <c r="C97" s="9">
        <v>0.97</v>
      </c>
    </row>
    <row r="98" spans="1:3">
      <c r="A98" s="5">
        <v>46066</v>
      </c>
      <c r="B98" s="6">
        <v>7.0000000000000007E-2</v>
      </c>
      <c r="C98" s="9">
        <v>0.92</v>
      </c>
    </row>
    <row r="99" spans="1:3">
      <c r="A99" s="5">
        <v>46067</v>
      </c>
      <c r="B99" s="6">
        <v>7.0000000000000007E-2</v>
      </c>
      <c r="C99" s="9">
        <v>0.93</v>
      </c>
    </row>
    <row r="100" spans="1:3">
      <c r="A100" s="5">
        <v>46068</v>
      </c>
      <c r="B100" s="6">
        <v>7.0000000000000007E-2</v>
      </c>
      <c r="C100" s="9">
        <v>0.9</v>
      </c>
    </row>
    <row r="101" spans="1:3">
      <c r="A101" s="5">
        <v>46069</v>
      </c>
      <c r="B101" s="6">
        <v>7.0000000000000007E-2</v>
      </c>
      <c r="C101" s="9">
        <v>0.92</v>
      </c>
    </row>
    <row r="102" spans="1:3">
      <c r="A102" s="5">
        <v>46070</v>
      </c>
      <c r="B102" s="6">
        <v>7.0000000000000007E-2</v>
      </c>
      <c r="C102" s="9">
        <v>0.87</v>
      </c>
    </row>
    <row r="103" spans="1:3">
      <c r="A103" s="5">
        <v>46071</v>
      </c>
      <c r="B103" s="6">
        <v>7.0000000000000007E-2</v>
      </c>
      <c r="C103" s="9">
        <v>0.87</v>
      </c>
    </row>
    <row r="104" spans="1:3">
      <c r="A104" s="5">
        <v>46072</v>
      </c>
      <c r="B104" s="6">
        <v>7.0000000000000007E-2</v>
      </c>
      <c r="C104" s="9">
        <v>0.83</v>
      </c>
    </row>
    <row r="105" spans="1:3">
      <c r="A105" s="5">
        <v>46073</v>
      </c>
      <c r="B105" s="6">
        <v>7.0000000000000007E-2</v>
      </c>
      <c r="C105" s="9">
        <v>0.8</v>
      </c>
    </row>
    <row r="106" spans="1:3">
      <c r="A106" s="5">
        <v>46074</v>
      </c>
      <c r="B106" s="6">
        <v>7.0000000000000007E-2</v>
      </c>
      <c r="C106" s="9">
        <v>0.78</v>
      </c>
    </row>
    <row r="107" spans="1:3">
      <c r="A107" s="5">
        <v>46075</v>
      </c>
      <c r="B107" s="6">
        <v>7.0000000000000007E-2</v>
      </c>
      <c r="C107" s="9">
        <v>0.78</v>
      </c>
    </row>
    <row r="108" spans="1:3">
      <c r="A108" s="5">
        <v>46076</v>
      </c>
      <c r="B108" s="6">
        <v>7.0000000000000007E-2</v>
      </c>
      <c r="C108" s="9">
        <v>0.76</v>
      </c>
    </row>
    <row r="109" spans="1:3">
      <c r="A109" s="5">
        <v>46077</v>
      </c>
      <c r="B109" s="6">
        <v>7.0000000000000007E-2</v>
      </c>
      <c r="C109" s="9">
        <v>0.73</v>
      </c>
    </row>
    <row r="110" spans="1:3">
      <c r="A110" s="5">
        <v>46078</v>
      </c>
      <c r="B110" s="6">
        <v>7.0000000000000007E-2</v>
      </c>
      <c r="C110" s="9">
        <v>0.73</v>
      </c>
    </row>
    <row r="111" spans="1:3">
      <c r="A111" s="5">
        <v>46079</v>
      </c>
      <c r="B111" s="6">
        <v>7.0000000000000007E-2</v>
      </c>
      <c r="C111" s="9">
        <v>0.83</v>
      </c>
    </row>
    <row r="112" spans="1:3">
      <c r="A112" s="5">
        <v>46080</v>
      </c>
      <c r="B112" s="6">
        <v>7.0000000000000007E-2</v>
      </c>
      <c r="C112" s="9">
        <v>0.89</v>
      </c>
    </row>
    <row r="113" spans="1:4">
      <c r="A113" s="5">
        <v>46081</v>
      </c>
      <c r="B113" s="6">
        <v>7.0000000000000007E-2</v>
      </c>
      <c r="C113" s="9">
        <v>0.79</v>
      </c>
    </row>
    <row r="114" spans="1:4">
      <c r="A114" s="5">
        <v>46082</v>
      </c>
      <c r="B114" s="6">
        <v>7.0000000000000007E-2</v>
      </c>
      <c r="C114" s="9">
        <v>0.73</v>
      </c>
    </row>
    <row r="115" spans="1:4">
      <c r="A115" s="5">
        <v>46083</v>
      </c>
      <c r="B115" s="6">
        <v>7.0000000000000007E-2</v>
      </c>
      <c r="C115" s="9">
        <v>0.69</v>
      </c>
    </row>
    <row r="116" spans="1:4">
      <c r="A116" s="5">
        <v>46084</v>
      </c>
      <c r="B116" s="6">
        <v>7.0000000000000007E-2</v>
      </c>
      <c r="C116" s="9">
        <v>0.69</v>
      </c>
    </row>
    <row r="117" spans="1:4">
      <c r="A117" s="5">
        <v>46085</v>
      </c>
      <c r="B117" s="6">
        <v>7.0000000000000007E-2</v>
      </c>
      <c r="C117" s="9">
        <v>0.69</v>
      </c>
    </row>
    <row r="118" spans="1:4">
      <c r="A118" s="5">
        <v>46086</v>
      </c>
      <c r="B118" s="6">
        <v>7.0000000000000007E-2</v>
      </c>
      <c r="C118" s="9">
        <v>0.69</v>
      </c>
      <c r="D118" s="10"/>
    </row>
    <row r="119" spans="1:4">
      <c r="A119" s="5"/>
      <c r="B119" s="6"/>
      <c r="C119" s="9"/>
    </row>
    <row r="120" spans="1:4">
      <c r="A120" s="5"/>
      <c r="B120" s="6"/>
      <c r="C120" s="9"/>
    </row>
    <row r="121" spans="1:4">
      <c r="A121" s="5"/>
      <c r="B121" s="6"/>
      <c r="C121" s="19"/>
    </row>
    <row r="122" spans="1:4">
      <c r="C122" s="20"/>
    </row>
    <row r="123" spans="1:4">
      <c r="C123" s="20"/>
    </row>
    <row r="124" spans="1:4">
      <c r="C124" s="20"/>
    </row>
    <row r="125" spans="1:4">
      <c r="C125" s="20"/>
    </row>
    <row r="126" spans="1:4">
      <c r="C126" s="20"/>
    </row>
    <row r="127" spans="1:4">
      <c r="C127" s="20"/>
    </row>
    <row r="128" spans="1:4">
      <c r="C128" s="20"/>
    </row>
    <row r="129" spans="3:3">
      <c r="C129" s="20"/>
    </row>
    <row r="130" spans="3:3">
      <c r="C130" s="20"/>
    </row>
    <row r="131" spans="3:3">
      <c r="C131" s="20"/>
    </row>
    <row r="132" spans="3:3">
      <c r="C132" s="21"/>
    </row>
    <row r="133" spans="3:3">
      <c r="C133" s="21"/>
    </row>
    <row r="134" spans="3:3">
      <c r="C134" s="21"/>
    </row>
    <row r="135" spans="3:3">
      <c r="C135" s="21"/>
    </row>
    <row r="136" spans="3:3">
      <c r="C136" s="20"/>
    </row>
    <row r="137" spans="3:3">
      <c r="C137" s="20"/>
    </row>
    <row r="138" spans="3:3">
      <c r="C138" s="20"/>
    </row>
    <row r="139" spans="3:3">
      <c r="C139" s="20"/>
    </row>
    <row r="140" spans="3:3">
      <c r="C140" s="20"/>
    </row>
    <row r="141" spans="3:3">
      <c r="C141" s="21"/>
    </row>
    <row r="142" spans="3:3">
      <c r="C142" s="21"/>
    </row>
    <row r="143" spans="3:3">
      <c r="C143" s="21"/>
    </row>
    <row r="144" spans="3:3">
      <c r="C144" s="21"/>
    </row>
    <row r="145" spans="3:3">
      <c r="C145" s="20"/>
    </row>
    <row r="146" spans="3:3">
      <c r="C146" s="20"/>
    </row>
    <row r="147" spans="3:3">
      <c r="C147" s="20"/>
    </row>
    <row r="148" spans="3:3">
      <c r="C148" s="20"/>
    </row>
    <row r="149" spans="3:3">
      <c r="C149" s="20"/>
    </row>
    <row r="150" spans="3:3">
      <c r="C150" s="20"/>
    </row>
    <row r="151" spans="3:3">
      <c r="C151" s="20"/>
    </row>
    <row r="152" spans="3:3">
      <c r="C152" s="20"/>
    </row>
    <row r="153" spans="3:3">
      <c r="C153" s="20"/>
    </row>
    <row r="154" spans="3:3">
      <c r="C154" s="22"/>
    </row>
    <row r="155" spans="3:3">
      <c r="C155" s="22"/>
    </row>
    <row r="156" spans="3:3">
      <c r="C156" s="22"/>
    </row>
    <row r="157" spans="3:3">
      <c r="C157" s="20"/>
    </row>
    <row r="158" spans="3:3">
      <c r="C158" s="20"/>
    </row>
    <row r="159" spans="3:3">
      <c r="C159" s="20"/>
    </row>
    <row r="160" spans="3:3">
      <c r="C160" s="20"/>
    </row>
    <row r="161" spans="3:3">
      <c r="C161" s="20"/>
    </row>
    <row r="162" spans="3:3">
      <c r="C162" s="20"/>
    </row>
    <row r="163" spans="3:3">
      <c r="C163" s="22"/>
    </row>
    <row r="164" spans="3:3">
      <c r="C164" s="22"/>
    </row>
    <row r="165" spans="3:3">
      <c r="C165" s="22"/>
    </row>
    <row r="166" spans="3:3">
      <c r="C166" s="20"/>
    </row>
    <row r="167" spans="3:3">
      <c r="C167" s="20"/>
    </row>
    <row r="168" spans="3:3">
      <c r="C168" s="20"/>
    </row>
    <row r="169" spans="3:3">
      <c r="C169" s="20"/>
    </row>
    <row r="170" spans="3:3">
      <c r="C170" s="20"/>
    </row>
    <row r="171" spans="3:3">
      <c r="C171" s="20"/>
    </row>
    <row r="172" spans="3:3">
      <c r="C172" s="20"/>
    </row>
    <row r="173" spans="3:3">
      <c r="C173" s="20"/>
    </row>
    <row r="174" spans="3:3">
      <c r="C174" s="20"/>
    </row>
    <row r="175" spans="3:3">
      <c r="C175" s="20"/>
    </row>
    <row r="176" spans="3:3">
      <c r="C176" s="20"/>
    </row>
    <row r="177" spans="3:3">
      <c r="C177" s="20"/>
    </row>
    <row r="178" spans="3:3">
      <c r="C178" s="23"/>
    </row>
    <row r="179" spans="3:3">
      <c r="C179" s="23"/>
    </row>
    <row r="180" spans="3:3">
      <c r="C180" s="23"/>
    </row>
    <row r="181" spans="3:3">
      <c r="C181" s="23"/>
    </row>
    <row r="182" spans="3:3">
      <c r="C182" s="23"/>
    </row>
    <row r="183" spans="3:3">
      <c r="C183" s="23"/>
    </row>
    <row r="184" spans="3:3">
      <c r="C184" s="23"/>
    </row>
    <row r="185" spans="3:3">
      <c r="C185" s="23"/>
    </row>
    <row r="186" spans="3:3">
      <c r="C186" s="23"/>
    </row>
    <row r="187" spans="3:3">
      <c r="C187" s="23"/>
    </row>
    <row r="188" spans="3:3">
      <c r="C188" s="23"/>
    </row>
    <row r="189" spans="3:3">
      <c r="C189" s="23"/>
    </row>
    <row r="190" spans="3:3">
      <c r="C190" s="23"/>
    </row>
    <row r="191" spans="3:3">
      <c r="C191" s="23"/>
    </row>
    <row r="192" spans="3:3">
      <c r="C192" s="23"/>
    </row>
    <row r="193" spans="3:3">
      <c r="C193" s="23"/>
    </row>
    <row r="194" spans="3:3">
      <c r="C194" s="23"/>
    </row>
    <row r="195" spans="3:3">
      <c r="C195" s="23"/>
    </row>
    <row r="196" spans="3:3">
      <c r="C196" s="23"/>
    </row>
    <row r="197" spans="3:3">
      <c r="C197" s="23"/>
    </row>
    <row r="198" spans="3:3">
      <c r="C198" s="23"/>
    </row>
    <row r="199" spans="3:3">
      <c r="C199" s="23"/>
    </row>
    <row r="200" spans="3:3">
      <c r="C200" s="23"/>
    </row>
    <row r="201" spans="3:3">
      <c r="C201" s="22"/>
    </row>
    <row r="202" spans="3:3">
      <c r="C202" s="22"/>
    </row>
    <row r="203" spans="3:3">
      <c r="C203" s="22"/>
    </row>
    <row r="204" spans="3:3">
      <c r="C204" s="22"/>
    </row>
    <row r="205" spans="3:3">
      <c r="C205" s="22"/>
    </row>
    <row r="206" spans="3:3">
      <c r="C206" s="22"/>
    </row>
    <row r="207" spans="3:3">
      <c r="C207" s="22"/>
    </row>
    <row r="208" spans="3:3">
      <c r="C208" s="22"/>
    </row>
    <row r="209" spans="3:3">
      <c r="C209" s="22"/>
    </row>
    <row r="210" spans="3:3">
      <c r="C210" s="22"/>
    </row>
    <row r="211" spans="3:3">
      <c r="C211" s="22"/>
    </row>
    <row r="212" spans="3:3">
      <c r="C212" s="22"/>
    </row>
    <row r="213" spans="3:3">
      <c r="C213" s="22"/>
    </row>
    <row r="214" spans="3:3">
      <c r="C214" s="20"/>
    </row>
    <row r="215" spans="3:3">
      <c r="C215" s="20"/>
    </row>
    <row r="216" spans="3:3">
      <c r="C216" s="20"/>
    </row>
    <row r="217" spans="3:3">
      <c r="C217" s="20"/>
    </row>
    <row r="218" spans="3:3">
      <c r="C218" s="20"/>
    </row>
    <row r="219" spans="3:3">
      <c r="C219" s="21"/>
    </row>
    <row r="220" spans="3:3">
      <c r="C220" s="21"/>
    </row>
    <row r="221" spans="3:3">
      <c r="C221" s="20"/>
    </row>
    <row r="222" spans="3:3">
      <c r="C222" s="20"/>
    </row>
    <row r="223" spans="3:3">
      <c r="C223" s="20"/>
    </row>
    <row r="224" spans="3:3">
      <c r="C224" s="20"/>
    </row>
    <row r="225" spans="3:3">
      <c r="C225" s="20"/>
    </row>
    <row r="226" spans="3:3">
      <c r="C226" s="20"/>
    </row>
    <row r="227" spans="3:3">
      <c r="C227" s="20"/>
    </row>
    <row r="228" spans="3:3">
      <c r="C228" s="20"/>
    </row>
    <row r="229" spans="3:3">
      <c r="C229" s="20"/>
    </row>
    <row r="230" spans="3:3">
      <c r="C230" s="20"/>
    </row>
    <row r="231" spans="3:3">
      <c r="C231" s="21"/>
    </row>
    <row r="232" spans="3:3">
      <c r="C232" s="21"/>
    </row>
    <row r="233" spans="3:3">
      <c r="C233" s="20"/>
    </row>
    <row r="234" spans="3:3">
      <c r="C234" s="20"/>
    </row>
    <row r="235" spans="3:3">
      <c r="C235" s="20"/>
    </row>
    <row r="236" spans="3:3">
      <c r="C236" s="20"/>
    </row>
    <row r="237" spans="3:3">
      <c r="C237" s="20"/>
    </row>
    <row r="238" spans="3:3">
      <c r="C238" s="20"/>
    </row>
    <row r="239" spans="3:3">
      <c r="C239" s="20"/>
    </row>
    <row r="240" spans="3:3">
      <c r="C240" s="20"/>
    </row>
    <row r="241" spans="3:3">
      <c r="C241" s="20"/>
    </row>
    <row r="242" spans="3:3">
      <c r="C242" s="20"/>
    </row>
    <row r="243" spans="3:3">
      <c r="C243" s="20"/>
    </row>
    <row r="244" spans="3:3">
      <c r="C244" s="20"/>
    </row>
    <row r="245" spans="3:3">
      <c r="C245" s="20"/>
    </row>
    <row r="246" spans="3:3">
      <c r="C246" s="20"/>
    </row>
    <row r="247" spans="3:3">
      <c r="C247" s="20"/>
    </row>
    <row r="248" spans="3:3">
      <c r="C248" s="20"/>
    </row>
    <row r="249" spans="3:3">
      <c r="C249" s="20"/>
    </row>
    <row r="250" spans="3:3">
      <c r="C250" s="20"/>
    </row>
    <row r="251" spans="3:3">
      <c r="C251" s="20"/>
    </row>
    <row r="252" spans="3:3">
      <c r="C252" s="20"/>
    </row>
    <row r="253" spans="3:3">
      <c r="C253" s="20"/>
    </row>
    <row r="254" spans="3:3">
      <c r="C254" s="20"/>
    </row>
    <row r="255" spans="3:3">
      <c r="C255" s="20"/>
    </row>
    <row r="256" spans="3:3">
      <c r="C256" s="20"/>
    </row>
    <row r="257" spans="3:3">
      <c r="C257" s="20"/>
    </row>
    <row r="258" spans="3:3">
      <c r="C258" s="20"/>
    </row>
    <row r="259" spans="3:3">
      <c r="C259" s="20"/>
    </row>
    <row r="260" spans="3:3">
      <c r="C260" s="20"/>
    </row>
    <row r="261" spans="3:3">
      <c r="C261" s="20"/>
    </row>
    <row r="262" spans="3:3">
      <c r="C262" s="20"/>
    </row>
    <row r="263" spans="3:3">
      <c r="C263" s="20"/>
    </row>
    <row r="264" spans="3:3">
      <c r="C264" s="20"/>
    </row>
    <row r="265" spans="3:3">
      <c r="C265" s="20"/>
    </row>
    <row r="266" spans="3:3">
      <c r="C266" s="20"/>
    </row>
    <row r="267" spans="3:3">
      <c r="C267" s="20"/>
    </row>
    <row r="268" spans="3:3">
      <c r="C268" s="20"/>
    </row>
    <row r="269" spans="3:3">
      <c r="C269" s="20"/>
    </row>
    <row r="270" spans="3:3">
      <c r="C270" s="20"/>
    </row>
    <row r="271" spans="3:3">
      <c r="C271" s="20"/>
    </row>
    <row r="272" spans="3:3">
      <c r="C272" s="20"/>
    </row>
    <row r="273" spans="3:3">
      <c r="C273" s="20"/>
    </row>
    <row r="274" spans="3:3">
      <c r="C274" s="20"/>
    </row>
    <row r="275" spans="3:3">
      <c r="C275" s="20"/>
    </row>
    <row r="276" spans="3:3">
      <c r="C276" s="20"/>
    </row>
    <row r="277" spans="3:3">
      <c r="C277" s="20"/>
    </row>
    <row r="278" spans="3:3">
      <c r="C278" s="20"/>
    </row>
    <row r="279" spans="3:3">
      <c r="C279" s="20"/>
    </row>
    <row r="280" spans="3:3">
      <c r="C280" s="20"/>
    </row>
    <row r="281" spans="3:3">
      <c r="C281" s="20"/>
    </row>
    <row r="282" spans="3:3">
      <c r="C282" s="20"/>
    </row>
    <row r="283" spans="3:3">
      <c r="C283" s="20"/>
    </row>
    <row r="284" spans="3:3">
      <c r="C284" s="20"/>
    </row>
    <row r="285" spans="3:3">
      <c r="C285" s="20"/>
    </row>
    <row r="286" spans="3:3">
      <c r="C286" s="20"/>
    </row>
    <row r="287" spans="3:3">
      <c r="C287" s="20"/>
    </row>
    <row r="288" spans="3:3">
      <c r="C288" s="20"/>
    </row>
    <row r="289" spans="3:3">
      <c r="C289" s="20"/>
    </row>
    <row r="290" spans="3:3">
      <c r="C290" s="20"/>
    </row>
    <row r="291" spans="3:3">
      <c r="C291" s="20"/>
    </row>
    <row r="292" spans="3:3">
      <c r="C292" s="20"/>
    </row>
    <row r="293" spans="3:3">
      <c r="C293" s="20"/>
    </row>
    <row r="294" spans="3:3">
      <c r="C294" s="20"/>
    </row>
    <row r="295" spans="3:3">
      <c r="C295" s="20"/>
    </row>
    <row r="296" spans="3:3">
      <c r="C296" s="23"/>
    </row>
    <row r="297" spans="3:3">
      <c r="C297" s="23"/>
    </row>
    <row r="298" spans="3:3">
      <c r="C298" s="23"/>
    </row>
    <row r="299" spans="3:3">
      <c r="C299" s="23"/>
    </row>
    <row r="300" spans="3:3">
      <c r="C300" s="23"/>
    </row>
    <row r="301" spans="3:3">
      <c r="C301" s="23"/>
    </row>
    <row r="302" spans="3:3">
      <c r="C302" s="23"/>
    </row>
    <row r="303" spans="3:3">
      <c r="C303" s="23"/>
    </row>
    <row r="304" spans="3:3">
      <c r="C304" s="23"/>
    </row>
    <row r="305" spans="3:3">
      <c r="C305" s="23"/>
    </row>
    <row r="306" spans="3:3">
      <c r="C306" s="23"/>
    </row>
    <row r="307" spans="3:3">
      <c r="C307" s="23"/>
    </row>
    <row r="308" spans="3:3">
      <c r="C308" s="23"/>
    </row>
    <row r="309" spans="3:3">
      <c r="C309" s="23"/>
    </row>
    <row r="310" spans="3:3">
      <c r="C310" s="23"/>
    </row>
    <row r="311" spans="3:3">
      <c r="C311" s="23"/>
    </row>
    <row r="312" spans="3:3">
      <c r="C312" s="23"/>
    </row>
    <row r="313" spans="3:3">
      <c r="C313" s="23"/>
    </row>
    <row r="314" spans="3:3">
      <c r="C314" s="23"/>
    </row>
    <row r="315" spans="3:3">
      <c r="C315" s="23"/>
    </row>
    <row r="316" spans="3:3">
      <c r="C316" s="23"/>
    </row>
    <row r="317" spans="3:3">
      <c r="C317" s="23"/>
    </row>
    <row r="318" spans="3:3">
      <c r="C318" s="23"/>
    </row>
    <row r="319" spans="3:3">
      <c r="C319" s="23"/>
    </row>
    <row r="320" spans="3:3">
      <c r="C320" s="23"/>
    </row>
    <row r="321" spans="3:3">
      <c r="C321" s="23"/>
    </row>
    <row r="322" spans="3:3">
      <c r="C322" s="23"/>
    </row>
    <row r="323" spans="3:3">
      <c r="C323" s="23"/>
    </row>
    <row r="324" spans="3:3">
      <c r="C324" s="23"/>
    </row>
    <row r="325" spans="3:3">
      <c r="C325" s="23"/>
    </row>
    <row r="326" spans="3:3">
      <c r="C326" s="23"/>
    </row>
    <row r="327" spans="3:3">
      <c r="C327" s="23"/>
    </row>
    <row r="328" spans="3:3">
      <c r="C328" s="23"/>
    </row>
    <row r="329" spans="3:3">
      <c r="C329" s="23"/>
    </row>
    <row r="330" spans="3:3">
      <c r="C330" s="23"/>
    </row>
    <row r="331" spans="3:3">
      <c r="C331" s="23"/>
    </row>
    <row r="332" spans="3:3">
      <c r="C332" s="23"/>
    </row>
    <row r="333" spans="3:3">
      <c r="C333" s="23"/>
    </row>
    <row r="334" spans="3:3">
      <c r="C334" s="23"/>
    </row>
    <row r="335" spans="3:3">
      <c r="C335" s="23"/>
    </row>
    <row r="336" spans="3:3">
      <c r="C336" s="23"/>
    </row>
    <row r="337" spans="3:3">
      <c r="C337" s="23"/>
    </row>
    <row r="338" spans="3:3">
      <c r="C338" s="23"/>
    </row>
    <row r="339" spans="3:3">
      <c r="C339" s="23"/>
    </row>
    <row r="340" spans="3:3">
      <c r="C340" s="23"/>
    </row>
    <row r="341" spans="3:3">
      <c r="C341" s="23"/>
    </row>
    <row r="342" spans="3:3">
      <c r="C342" s="23"/>
    </row>
    <row r="343" spans="3:3">
      <c r="C343" s="23"/>
    </row>
    <row r="344" spans="3:3">
      <c r="C344" s="23"/>
    </row>
    <row r="345" spans="3:3">
      <c r="C345" s="23"/>
    </row>
    <row r="346" spans="3:3">
      <c r="C346" s="23"/>
    </row>
    <row r="347" spans="3:3">
      <c r="C347" s="20"/>
    </row>
    <row r="348" spans="3:3">
      <c r="C348" s="20"/>
    </row>
    <row r="349" spans="3:3">
      <c r="C349" s="20"/>
    </row>
    <row r="350" spans="3:3">
      <c r="C350" s="20"/>
    </row>
    <row r="351" spans="3:3">
      <c r="C351" s="20"/>
    </row>
    <row r="352" spans="3:3">
      <c r="C352" s="20"/>
    </row>
    <row r="353" spans="3:3">
      <c r="C353" s="20"/>
    </row>
    <row r="354" spans="3:3">
      <c r="C354" s="20"/>
    </row>
    <row r="355" spans="3:3">
      <c r="C355" s="20"/>
    </row>
    <row r="356" spans="3:3">
      <c r="C356" s="20"/>
    </row>
    <row r="357" spans="3:3">
      <c r="C357" s="20"/>
    </row>
    <row r="358" spans="3:3">
      <c r="C358" s="20"/>
    </row>
    <row r="359" spans="3:3">
      <c r="C359" s="20"/>
    </row>
    <row r="360" spans="3:3">
      <c r="C360" s="20"/>
    </row>
    <row r="361" spans="3:3">
      <c r="C361" s="20"/>
    </row>
    <row r="362" spans="3:3">
      <c r="C362" s="20"/>
    </row>
    <row r="363" spans="3:3">
      <c r="C363" s="20"/>
    </row>
    <row r="364" spans="3:3">
      <c r="C364" s="20"/>
    </row>
    <row r="365" spans="3:3">
      <c r="C365" s="20"/>
    </row>
    <row r="366" spans="3:3">
      <c r="C366" s="20"/>
    </row>
    <row r="367" spans="3:3">
      <c r="C367" s="20"/>
    </row>
    <row r="368" spans="3:3">
      <c r="C368" s="20"/>
    </row>
    <row r="369" spans="3:3">
      <c r="C369" s="20"/>
    </row>
    <row r="370" spans="3:3">
      <c r="C370" s="20"/>
    </row>
    <row r="371" spans="3:3">
      <c r="C371" s="20"/>
    </row>
    <row r="372" spans="3:3">
      <c r="C372" s="20"/>
    </row>
    <row r="373" spans="3:3">
      <c r="C373" s="20"/>
    </row>
    <row r="374" spans="3:3">
      <c r="C374" s="20"/>
    </row>
    <row r="375" spans="3:3">
      <c r="C375" s="20"/>
    </row>
    <row r="376" spans="3:3">
      <c r="C376" s="20"/>
    </row>
    <row r="377" spans="3:3">
      <c r="C377" s="20"/>
    </row>
    <row r="378" spans="3:3">
      <c r="C378" s="20"/>
    </row>
    <row r="379" spans="3:3">
      <c r="C379" s="20"/>
    </row>
    <row r="380" spans="3:3">
      <c r="C380" s="20"/>
    </row>
    <row r="381" spans="3:3">
      <c r="C381" s="20"/>
    </row>
    <row r="382" spans="3:3">
      <c r="C382" s="20"/>
    </row>
    <row r="383" spans="3:3">
      <c r="C383" s="20"/>
    </row>
    <row r="384" spans="3:3">
      <c r="C384" s="20"/>
    </row>
    <row r="385" spans="3:3">
      <c r="C385" s="20"/>
    </row>
    <row r="386" spans="3:3">
      <c r="C386" s="20"/>
    </row>
    <row r="387" spans="3:3">
      <c r="C387" s="20"/>
    </row>
    <row r="388" spans="3:3">
      <c r="C388" s="20"/>
    </row>
    <row r="389" spans="3:3">
      <c r="C389" s="20"/>
    </row>
    <row r="390" spans="3:3">
      <c r="C390" s="20"/>
    </row>
    <row r="391" spans="3:3">
      <c r="C391" s="20"/>
    </row>
    <row r="392" spans="3:3">
      <c r="C392" s="20"/>
    </row>
    <row r="393" spans="3:3">
      <c r="C393" s="20"/>
    </row>
    <row r="394" spans="3:3">
      <c r="C394" s="20"/>
    </row>
    <row r="395" spans="3:3">
      <c r="C395" s="20"/>
    </row>
    <row r="396" spans="3:3">
      <c r="C396" s="20"/>
    </row>
    <row r="397" spans="3:3">
      <c r="C397" s="20"/>
    </row>
    <row r="398" spans="3:3">
      <c r="C398" s="20"/>
    </row>
    <row r="399" spans="3:3">
      <c r="C399" s="20"/>
    </row>
    <row r="400" spans="3:3">
      <c r="C400" s="20"/>
    </row>
    <row r="401" spans="3:3">
      <c r="C401" s="20"/>
    </row>
    <row r="402" spans="3:3">
      <c r="C402" s="20"/>
    </row>
    <row r="403" spans="3:3">
      <c r="C403" s="20"/>
    </row>
    <row r="404" spans="3:3">
      <c r="C404" s="20"/>
    </row>
    <row r="405" spans="3:3">
      <c r="C405" s="20"/>
    </row>
    <row r="406" spans="3:3">
      <c r="C406" s="20"/>
    </row>
    <row r="407" spans="3:3">
      <c r="C407" s="20"/>
    </row>
    <row r="408" spans="3:3">
      <c r="C408" s="20"/>
    </row>
    <row r="409" spans="3:3">
      <c r="C409" s="20"/>
    </row>
    <row r="410" spans="3:3">
      <c r="C410" s="20"/>
    </row>
    <row r="411" spans="3:3">
      <c r="C411" s="20"/>
    </row>
    <row r="412" spans="3:3">
      <c r="C412" s="20"/>
    </row>
    <row r="413" spans="3:3">
      <c r="C413" s="20"/>
    </row>
    <row r="414" spans="3:3">
      <c r="C414" s="20"/>
    </row>
    <row r="415" spans="3:3">
      <c r="C415" s="20"/>
    </row>
    <row r="416" spans="3:3">
      <c r="C416" s="20"/>
    </row>
    <row r="417" spans="3:3">
      <c r="C417" s="20"/>
    </row>
    <row r="418" spans="3:3">
      <c r="C418" s="20"/>
    </row>
    <row r="419" spans="3:3">
      <c r="C419" s="20"/>
    </row>
    <row r="420" spans="3:3">
      <c r="C420" s="20"/>
    </row>
    <row r="421" spans="3:3">
      <c r="C421" s="20"/>
    </row>
    <row r="422" spans="3:3">
      <c r="C422" s="20"/>
    </row>
    <row r="423" spans="3:3">
      <c r="C423" s="20"/>
    </row>
    <row r="424" spans="3:3">
      <c r="C424" s="20"/>
    </row>
    <row r="425" spans="3:3">
      <c r="C425" s="20"/>
    </row>
    <row r="426" spans="3:3">
      <c r="C426" s="20"/>
    </row>
    <row r="427" spans="3:3">
      <c r="C427" s="20"/>
    </row>
    <row r="428" spans="3:3">
      <c r="C428" s="20"/>
    </row>
    <row r="429" spans="3:3">
      <c r="C429" s="20"/>
    </row>
    <row r="430" spans="3:3">
      <c r="C430" s="20"/>
    </row>
    <row r="431" spans="3:3">
      <c r="C431" s="20"/>
    </row>
    <row r="432" spans="3:3">
      <c r="C432" s="20"/>
    </row>
    <row r="433" spans="3:3">
      <c r="C433" s="20"/>
    </row>
    <row r="434" spans="3:3">
      <c r="C434" s="20"/>
    </row>
    <row r="435" spans="3:3">
      <c r="C435" s="20"/>
    </row>
    <row r="436" spans="3:3">
      <c r="C436" s="20"/>
    </row>
    <row r="437" spans="3:3">
      <c r="C437" s="20"/>
    </row>
    <row r="438" spans="3:3">
      <c r="C438" s="20"/>
    </row>
    <row r="439" spans="3:3">
      <c r="C439" s="20"/>
    </row>
    <row r="440" spans="3:3">
      <c r="C440" s="20"/>
    </row>
    <row r="441" spans="3:3">
      <c r="C441" s="20"/>
    </row>
    <row r="442" spans="3:3">
      <c r="C442" s="20"/>
    </row>
    <row r="443" spans="3:3">
      <c r="C443" s="20"/>
    </row>
    <row r="444" spans="3:3">
      <c r="C444" s="20"/>
    </row>
    <row r="445" spans="3:3">
      <c r="C445" s="20"/>
    </row>
    <row r="446" spans="3:3">
      <c r="C446" s="20"/>
    </row>
    <row r="447" spans="3:3">
      <c r="C447" s="20"/>
    </row>
    <row r="448" spans="3:3">
      <c r="C448" s="20"/>
    </row>
    <row r="449" spans="3:3">
      <c r="C449" s="20"/>
    </row>
    <row r="450" spans="3:3">
      <c r="C450" s="20"/>
    </row>
    <row r="451" spans="3:3">
      <c r="C451" s="20"/>
    </row>
    <row r="452" spans="3:3">
      <c r="C452" s="20"/>
    </row>
    <row r="453" spans="3:3">
      <c r="C453" s="20"/>
    </row>
    <row r="454" spans="3:3">
      <c r="C454" s="20"/>
    </row>
    <row r="455" spans="3:3">
      <c r="C455" s="20"/>
    </row>
    <row r="456" spans="3:3">
      <c r="C456" s="20"/>
    </row>
    <row r="457" spans="3:3">
      <c r="C457" s="20"/>
    </row>
    <row r="458" spans="3:3">
      <c r="C458" s="20"/>
    </row>
    <row r="459" spans="3:3">
      <c r="C459" s="20"/>
    </row>
    <row r="460" spans="3:3">
      <c r="C460" s="20"/>
    </row>
    <row r="461" spans="3:3">
      <c r="C461" s="20"/>
    </row>
    <row r="462" spans="3:3">
      <c r="C462" s="20"/>
    </row>
    <row r="463" spans="3:3">
      <c r="C463" s="20"/>
    </row>
    <row r="464" spans="3:3">
      <c r="C464" s="20"/>
    </row>
    <row r="465" spans="3:3">
      <c r="C465" s="20"/>
    </row>
    <row r="466" spans="3:3">
      <c r="C466" s="20"/>
    </row>
    <row r="467" spans="3:3">
      <c r="C467" s="20"/>
    </row>
    <row r="468" spans="3:3">
      <c r="C468" s="20"/>
    </row>
    <row r="469" spans="3:3">
      <c r="C469" s="20"/>
    </row>
    <row r="470" spans="3:3">
      <c r="C470" s="20"/>
    </row>
    <row r="471" spans="3:3">
      <c r="C471" s="20"/>
    </row>
    <row r="472" spans="3:3">
      <c r="C472" s="20"/>
    </row>
    <row r="473" spans="3:3">
      <c r="C473" s="20"/>
    </row>
    <row r="474" spans="3:3">
      <c r="C474" s="20"/>
    </row>
    <row r="475" spans="3:3">
      <c r="C475" s="20"/>
    </row>
    <row r="476" spans="3:3">
      <c r="C476" s="20"/>
    </row>
    <row r="477" spans="3:3">
      <c r="C477" s="20"/>
    </row>
    <row r="478" spans="3:3">
      <c r="C478" s="20"/>
    </row>
    <row r="479" spans="3:3">
      <c r="C479" s="20"/>
    </row>
    <row r="480" spans="3:3">
      <c r="C480" s="20"/>
    </row>
    <row r="481" spans="3:3">
      <c r="C481" s="20"/>
    </row>
    <row r="482" spans="3:3">
      <c r="C482" s="20"/>
    </row>
    <row r="483" spans="3:3">
      <c r="C483" s="20"/>
    </row>
    <row r="484" spans="3:3">
      <c r="C484" s="20"/>
    </row>
    <row r="485" spans="3:3">
      <c r="C485" s="20"/>
    </row>
    <row r="486" spans="3:3">
      <c r="C486" s="20"/>
    </row>
    <row r="487" spans="3:3">
      <c r="C487" s="20"/>
    </row>
    <row r="488" spans="3:3">
      <c r="C488" s="20"/>
    </row>
    <row r="489" spans="3:3">
      <c r="C489" s="20"/>
    </row>
    <row r="490" spans="3:3">
      <c r="C490" s="20"/>
    </row>
    <row r="491" spans="3:3">
      <c r="C491" s="20"/>
    </row>
    <row r="492" spans="3:3">
      <c r="C492" s="20"/>
    </row>
    <row r="493" spans="3:3">
      <c r="C493" s="20"/>
    </row>
    <row r="494" spans="3:3">
      <c r="C494" s="20"/>
    </row>
    <row r="495" spans="3:3">
      <c r="C495" s="20"/>
    </row>
    <row r="496" spans="3:3">
      <c r="C496" s="20"/>
    </row>
    <row r="497" spans="3:3">
      <c r="C497" s="20"/>
    </row>
    <row r="498" spans="3:3">
      <c r="C498" s="20"/>
    </row>
    <row r="499" spans="3:3">
      <c r="C499" s="20"/>
    </row>
    <row r="500" spans="3:3">
      <c r="C500" s="20"/>
    </row>
    <row r="501" spans="3:3">
      <c r="C501" s="20"/>
    </row>
    <row r="502" spans="3:3">
      <c r="C502" s="20"/>
    </row>
    <row r="503" spans="3:3">
      <c r="C503" s="20"/>
    </row>
    <row r="504" spans="3:3">
      <c r="C504" s="20"/>
    </row>
    <row r="505" spans="3:3">
      <c r="C505" s="20"/>
    </row>
    <row r="506" spans="3:3">
      <c r="C506" s="20"/>
    </row>
    <row r="507" spans="3:3">
      <c r="C507" s="20"/>
    </row>
    <row r="508" spans="3:3">
      <c r="C508" s="20"/>
    </row>
    <row r="509" spans="3:3">
      <c r="C509" s="20"/>
    </row>
    <row r="510" spans="3:3">
      <c r="C510" s="20"/>
    </row>
    <row r="511" spans="3:3">
      <c r="C511" s="20"/>
    </row>
    <row r="512" spans="3:3">
      <c r="C512" s="20"/>
    </row>
    <row r="513" spans="3:3">
      <c r="C513" s="23"/>
    </row>
    <row r="514" spans="3:3">
      <c r="C514" s="23"/>
    </row>
    <row r="515" spans="3:3">
      <c r="C515" s="23"/>
    </row>
    <row r="516" spans="3:3">
      <c r="C516" s="23"/>
    </row>
    <row r="517" spans="3:3">
      <c r="C517" s="23"/>
    </row>
    <row r="518" spans="3:3">
      <c r="C518" s="23"/>
    </row>
    <row r="519" spans="3:3">
      <c r="C519" s="23"/>
    </row>
    <row r="520" spans="3:3">
      <c r="C520" s="23"/>
    </row>
    <row r="521" spans="3:3">
      <c r="C521" s="23"/>
    </row>
    <row r="522" spans="3:3">
      <c r="C522" s="23"/>
    </row>
    <row r="523" spans="3:3">
      <c r="C523" s="23"/>
    </row>
    <row r="524" spans="3:3">
      <c r="C524" s="23"/>
    </row>
    <row r="525" spans="3:3">
      <c r="C525" s="23"/>
    </row>
    <row r="526" spans="3:3">
      <c r="C526" s="23"/>
    </row>
    <row r="527" spans="3:3">
      <c r="C527" s="23"/>
    </row>
    <row r="528" spans="3:3">
      <c r="C528" s="23"/>
    </row>
    <row r="529" spans="3:3">
      <c r="C529" s="23"/>
    </row>
    <row r="530" spans="3:3">
      <c r="C530" s="23"/>
    </row>
    <row r="531" spans="3:3">
      <c r="C531" s="23"/>
    </row>
    <row r="532" spans="3:3">
      <c r="C532" s="23"/>
    </row>
    <row r="533" spans="3:3">
      <c r="C533" s="23"/>
    </row>
    <row r="534" spans="3:3">
      <c r="C534" s="23"/>
    </row>
    <row r="535" spans="3:3">
      <c r="C535" s="23"/>
    </row>
    <row r="536" spans="3:3">
      <c r="C536" s="23"/>
    </row>
    <row r="537" spans="3:3">
      <c r="C537" s="23"/>
    </row>
    <row r="538" spans="3:3">
      <c r="C538" s="23"/>
    </row>
    <row r="539" spans="3:3">
      <c r="C539" s="23"/>
    </row>
    <row r="540" spans="3:3">
      <c r="C540" s="23"/>
    </row>
    <row r="541" spans="3:3">
      <c r="C541" s="23"/>
    </row>
    <row r="542" spans="3:3">
      <c r="C542" s="23"/>
    </row>
    <row r="543" spans="3:3">
      <c r="C543" s="23"/>
    </row>
    <row r="544" spans="3:3">
      <c r="C544" s="23"/>
    </row>
    <row r="545" spans="3:3">
      <c r="C545" s="23"/>
    </row>
    <row r="546" spans="3:3">
      <c r="C546" s="23"/>
    </row>
    <row r="547" spans="3:3">
      <c r="C547" s="23"/>
    </row>
    <row r="548" spans="3:3">
      <c r="C548" s="23"/>
    </row>
    <row r="549" spans="3:3">
      <c r="C549" s="23"/>
    </row>
    <row r="550" spans="3:3">
      <c r="C550" s="23"/>
    </row>
    <row r="551" spans="3:3">
      <c r="C551" s="23"/>
    </row>
    <row r="552" spans="3:3">
      <c r="C552" s="23"/>
    </row>
    <row r="553" spans="3:3">
      <c r="C553" s="23"/>
    </row>
    <row r="554" spans="3:3">
      <c r="C554" s="23"/>
    </row>
    <row r="555" spans="3:3">
      <c r="C555" s="23"/>
    </row>
    <row r="556" spans="3:3">
      <c r="C556" s="23"/>
    </row>
    <row r="557" spans="3:3">
      <c r="C557" s="23"/>
    </row>
    <row r="558" spans="3:3">
      <c r="C558" s="23"/>
    </row>
    <row r="559" spans="3:3">
      <c r="C559" s="23"/>
    </row>
    <row r="560" spans="3:3">
      <c r="C560" s="23"/>
    </row>
    <row r="561" spans="3:3">
      <c r="C561" s="23"/>
    </row>
    <row r="562" spans="3:3">
      <c r="C562" s="23"/>
    </row>
    <row r="563" spans="3:3">
      <c r="C563" s="23"/>
    </row>
    <row r="564" spans="3:3">
      <c r="C564" s="23"/>
    </row>
    <row r="565" spans="3:3">
      <c r="C565" s="23"/>
    </row>
    <row r="566" spans="3:3">
      <c r="C566" s="23"/>
    </row>
    <row r="567" spans="3:3">
      <c r="C567" s="23"/>
    </row>
    <row r="568" spans="3:3">
      <c r="C568" s="23"/>
    </row>
    <row r="569" spans="3:3">
      <c r="C569" s="23"/>
    </row>
    <row r="570" spans="3:3">
      <c r="C570" s="23"/>
    </row>
    <row r="571" spans="3:3">
      <c r="C571" s="23"/>
    </row>
    <row r="572" spans="3:3">
      <c r="C572" s="23"/>
    </row>
    <row r="573" spans="3:3">
      <c r="C573" s="23"/>
    </row>
    <row r="574" spans="3:3">
      <c r="C574" s="23"/>
    </row>
    <row r="575" spans="3:3">
      <c r="C575" s="23"/>
    </row>
    <row r="576" spans="3:3">
      <c r="C576" s="23"/>
    </row>
    <row r="577" spans="3:3">
      <c r="C577" s="23"/>
    </row>
    <row r="578" spans="3:3">
      <c r="C578" s="23"/>
    </row>
    <row r="579" spans="3:3">
      <c r="C579" s="23"/>
    </row>
    <row r="580" spans="3:3">
      <c r="C580" s="23"/>
    </row>
    <row r="581" spans="3:3">
      <c r="C581" s="23"/>
    </row>
    <row r="582" spans="3:3">
      <c r="C582" s="23"/>
    </row>
    <row r="583" spans="3:3">
      <c r="C583" s="23"/>
    </row>
    <row r="584" spans="3:3">
      <c r="C584" s="23"/>
    </row>
    <row r="585" spans="3:3">
      <c r="C585" s="23"/>
    </row>
    <row r="586" spans="3:3">
      <c r="C586" s="23"/>
    </row>
    <row r="587" spans="3:3">
      <c r="C587" s="23"/>
    </row>
    <row r="588" spans="3:3">
      <c r="C588" s="23"/>
    </row>
    <row r="589" spans="3:3">
      <c r="C589" s="23"/>
    </row>
    <row r="590" spans="3:3">
      <c r="C590" s="23"/>
    </row>
    <row r="591" spans="3:3">
      <c r="C591" s="23"/>
    </row>
    <row r="592" spans="3:3">
      <c r="C592" s="23"/>
    </row>
    <row r="593" spans="3:3">
      <c r="C593" s="23"/>
    </row>
    <row r="594" spans="3:3">
      <c r="C594" s="23"/>
    </row>
    <row r="595" spans="3:3">
      <c r="C595" s="23"/>
    </row>
    <row r="596" spans="3:3">
      <c r="C596" s="23"/>
    </row>
    <row r="597" spans="3:3">
      <c r="C597" s="23"/>
    </row>
    <row r="598" spans="3:3">
      <c r="C598" s="23"/>
    </row>
    <row r="599" spans="3:3">
      <c r="C599" s="23"/>
    </row>
    <row r="600" spans="3:3">
      <c r="C600" s="23"/>
    </row>
    <row r="601" spans="3:3">
      <c r="C601" s="23"/>
    </row>
    <row r="602" spans="3:3">
      <c r="C602" s="23"/>
    </row>
    <row r="603" spans="3:3">
      <c r="C603" s="23"/>
    </row>
    <row r="604" spans="3:3">
      <c r="C604" s="23"/>
    </row>
    <row r="605" spans="3:3">
      <c r="C605" s="23"/>
    </row>
    <row r="606" spans="3:3">
      <c r="C606" s="23"/>
    </row>
    <row r="607" spans="3:3">
      <c r="C607" s="23"/>
    </row>
    <row r="608" spans="3:3">
      <c r="C608" s="23"/>
    </row>
    <row r="609" spans="3:3">
      <c r="C609" s="23"/>
    </row>
    <row r="610" spans="3:3">
      <c r="C610" s="23"/>
    </row>
    <row r="611" spans="3:3">
      <c r="C611" s="23"/>
    </row>
    <row r="612" spans="3:3">
      <c r="C612" s="23"/>
    </row>
    <row r="613" spans="3:3">
      <c r="C613" s="23"/>
    </row>
    <row r="614" spans="3:3">
      <c r="C614" s="23"/>
    </row>
    <row r="615" spans="3:3">
      <c r="C615" s="23"/>
    </row>
    <row r="616" spans="3:3">
      <c r="C616" s="23"/>
    </row>
    <row r="617" spans="3:3">
      <c r="C617" s="23"/>
    </row>
    <row r="618" spans="3:3">
      <c r="C618" s="23"/>
    </row>
    <row r="619" spans="3:3">
      <c r="C619" s="23"/>
    </row>
    <row r="620" spans="3:3">
      <c r="C620" s="23"/>
    </row>
    <row r="621" spans="3:3">
      <c r="C621" s="23"/>
    </row>
    <row r="622" spans="3:3">
      <c r="C622" s="23"/>
    </row>
    <row r="623" spans="3:3">
      <c r="C623" s="23"/>
    </row>
    <row r="624" spans="3:3">
      <c r="C624" s="23"/>
    </row>
    <row r="625" spans="3:3">
      <c r="C625" s="23"/>
    </row>
    <row r="626" spans="3:3">
      <c r="C626" s="23"/>
    </row>
    <row r="627" spans="3:3">
      <c r="C627" s="23"/>
    </row>
    <row r="628" spans="3:3">
      <c r="C628" s="23"/>
    </row>
    <row r="629" spans="3:3">
      <c r="C629" s="23"/>
    </row>
    <row r="630" spans="3:3">
      <c r="C630" s="23"/>
    </row>
    <row r="631" spans="3:3">
      <c r="C631" s="23"/>
    </row>
    <row r="632" spans="3:3">
      <c r="C632" s="23"/>
    </row>
    <row r="633" spans="3:3">
      <c r="C633" s="23"/>
    </row>
    <row r="634" spans="3:3">
      <c r="C634" s="23"/>
    </row>
    <row r="635" spans="3:3">
      <c r="C635" s="23"/>
    </row>
    <row r="636" spans="3:3">
      <c r="C636" s="23"/>
    </row>
    <row r="637" spans="3:3">
      <c r="C637" s="23"/>
    </row>
    <row r="638" spans="3:3">
      <c r="C638" s="23"/>
    </row>
    <row r="639" spans="3:3">
      <c r="C639" s="23"/>
    </row>
    <row r="640" spans="3:3">
      <c r="C640" s="23"/>
    </row>
    <row r="641" spans="3:3">
      <c r="C641" s="23"/>
    </row>
    <row r="642" spans="3:3">
      <c r="C642" s="23"/>
    </row>
    <row r="643" spans="3:3">
      <c r="C643" s="23"/>
    </row>
    <row r="644" spans="3:3">
      <c r="C644" s="23"/>
    </row>
    <row r="645" spans="3:3">
      <c r="C645" s="23"/>
    </row>
    <row r="646" spans="3:3">
      <c r="C646" s="23"/>
    </row>
    <row r="647" spans="3:3">
      <c r="C647" s="23"/>
    </row>
    <row r="648" spans="3:3">
      <c r="C648" s="23"/>
    </row>
    <row r="649" spans="3:3">
      <c r="C649" s="23"/>
    </row>
    <row r="650" spans="3:3">
      <c r="C650" s="23"/>
    </row>
    <row r="651" spans="3:3">
      <c r="C651" s="23"/>
    </row>
    <row r="652" spans="3:3">
      <c r="C652" s="23"/>
    </row>
    <row r="653" spans="3:3">
      <c r="C653" s="23"/>
    </row>
    <row r="654" spans="3:3">
      <c r="C654" s="23"/>
    </row>
    <row r="655" spans="3:3">
      <c r="C655" s="23"/>
    </row>
    <row r="656" spans="3:3">
      <c r="C656" s="23"/>
    </row>
    <row r="657" spans="3:3">
      <c r="C657" s="23"/>
    </row>
    <row r="658" spans="3:3">
      <c r="C658" s="23"/>
    </row>
    <row r="659" spans="3:3">
      <c r="C659" s="23"/>
    </row>
    <row r="660" spans="3:3">
      <c r="C660" s="23"/>
    </row>
    <row r="661" spans="3:3">
      <c r="C661" s="23"/>
    </row>
    <row r="662" spans="3:3">
      <c r="C662" s="23"/>
    </row>
    <row r="663" spans="3:3">
      <c r="C663" s="23"/>
    </row>
    <row r="664" spans="3:3">
      <c r="C664" s="23"/>
    </row>
    <row r="665" spans="3:3">
      <c r="C665" s="23"/>
    </row>
    <row r="666" spans="3:3">
      <c r="C666" s="23"/>
    </row>
    <row r="667" spans="3:3">
      <c r="C667" s="23"/>
    </row>
    <row r="668" spans="3:3">
      <c r="C668" s="23"/>
    </row>
    <row r="669" spans="3:3">
      <c r="C669" s="23"/>
    </row>
    <row r="670" spans="3:3">
      <c r="C670" s="23"/>
    </row>
    <row r="671" spans="3:3">
      <c r="C671" s="23"/>
    </row>
    <row r="672" spans="3:3">
      <c r="C672" s="23"/>
    </row>
    <row r="673" spans="3:3">
      <c r="C673" s="23"/>
    </row>
    <row r="674" spans="3:3">
      <c r="C674" s="23"/>
    </row>
    <row r="675" spans="3:3">
      <c r="C675" s="23"/>
    </row>
    <row r="676" spans="3:3">
      <c r="C676" s="23"/>
    </row>
    <row r="677" spans="3:3">
      <c r="C677" s="23"/>
    </row>
    <row r="678" spans="3:3">
      <c r="C678" s="23"/>
    </row>
    <row r="679" spans="3:3">
      <c r="C679" s="23"/>
    </row>
    <row r="680" spans="3:3">
      <c r="C680" s="23"/>
    </row>
    <row r="681" spans="3:3">
      <c r="C681" s="23"/>
    </row>
    <row r="682" spans="3:3">
      <c r="C682" s="23"/>
    </row>
    <row r="683" spans="3:3">
      <c r="C683" s="23"/>
    </row>
    <row r="684" spans="3:3">
      <c r="C684" s="23"/>
    </row>
    <row r="685" spans="3:3">
      <c r="C685" s="23"/>
    </row>
    <row r="686" spans="3:3">
      <c r="C686" s="23"/>
    </row>
    <row r="687" spans="3:3">
      <c r="C687" s="23"/>
    </row>
    <row r="688" spans="3:3">
      <c r="C688" s="23"/>
    </row>
    <row r="689" spans="3:3">
      <c r="C689" s="23"/>
    </row>
    <row r="690" spans="3:3">
      <c r="C690" s="23"/>
    </row>
    <row r="691" spans="3:3">
      <c r="C691" s="23"/>
    </row>
    <row r="692" spans="3:3">
      <c r="C692" s="23"/>
    </row>
    <row r="693" spans="3:3">
      <c r="C693" s="23"/>
    </row>
    <row r="694" spans="3:3">
      <c r="C694" s="23"/>
    </row>
    <row r="695" spans="3:3">
      <c r="C695" s="23"/>
    </row>
    <row r="696" spans="3:3">
      <c r="C696" s="23"/>
    </row>
    <row r="697" spans="3:3">
      <c r="C697" s="23"/>
    </row>
    <row r="698" spans="3:3">
      <c r="C698" s="23"/>
    </row>
    <row r="699" spans="3:3">
      <c r="C699" s="23"/>
    </row>
    <row r="700" spans="3:3">
      <c r="C700" s="23"/>
    </row>
    <row r="701" spans="3:3">
      <c r="C701" s="23"/>
    </row>
    <row r="702" spans="3:3">
      <c r="C702" s="23"/>
    </row>
    <row r="703" spans="3:3">
      <c r="C703" s="23"/>
    </row>
    <row r="704" spans="3:3">
      <c r="C704" s="23"/>
    </row>
    <row r="705" spans="3:3">
      <c r="C705" s="23"/>
    </row>
    <row r="706" spans="3:3">
      <c r="C706" s="23"/>
    </row>
    <row r="707" spans="3:3">
      <c r="C707" s="23"/>
    </row>
    <row r="708" spans="3:3">
      <c r="C708" s="23"/>
    </row>
    <row r="709" spans="3:3">
      <c r="C709" s="23"/>
    </row>
    <row r="710" spans="3:3">
      <c r="C710" s="23"/>
    </row>
    <row r="711" spans="3:3">
      <c r="C711" s="23"/>
    </row>
    <row r="712" spans="3:3">
      <c r="C712" s="23"/>
    </row>
    <row r="713" spans="3:3">
      <c r="C713" s="23"/>
    </row>
    <row r="714" spans="3:3">
      <c r="C714" s="23"/>
    </row>
    <row r="715" spans="3:3">
      <c r="C715" s="23"/>
    </row>
    <row r="716" spans="3:3">
      <c r="C716" s="23"/>
    </row>
    <row r="717" spans="3:3">
      <c r="C717" s="23"/>
    </row>
    <row r="718" spans="3:3">
      <c r="C718" s="23"/>
    </row>
    <row r="719" spans="3:3">
      <c r="C719" s="23"/>
    </row>
    <row r="720" spans="3:3">
      <c r="C720" s="23"/>
    </row>
    <row r="721" spans="3:3">
      <c r="C721" s="23"/>
    </row>
    <row r="722" spans="3:3">
      <c r="C722" s="23"/>
    </row>
    <row r="723" spans="3:3">
      <c r="C723" s="23"/>
    </row>
    <row r="724" spans="3:3">
      <c r="C724" s="23"/>
    </row>
    <row r="725" spans="3:3">
      <c r="C725" s="23"/>
    </row>
    <row r="726" spans="3:3">
      <c r="C726" s="23"/>
    </row>
    <row r="727" spans="3:3">
      <c r="C727" s="23"/>
    </row>
    <row r="728" spans="3:3">
      <c r="C728" s="23"/>
    </row>
    <row r="729" spans="3:3">
      <c r="C729" s="23"/>
    </row>
    <row r="730" spans="3:3">
      <c r="C730" s="23"/>
    </row>
    <row r="731" spans="3:3">
      <c r="C731" s="23"/>
    </row>
    <row r="732" spans="3:3">
      <c r="C732" s="23"/>
    </row>
    <row r="733" spans="3:3">
      <c r="C733" s="23"/>
    </row>
    <row r="734" spans="3:3">
      <c r="C734" s="23"/>
    </row>
    <row r="735" spans="3:3">
      <c r="C735" s="23"/>
    </row>
    <row r="736" spans="3:3">
      <c r="C736" s="23"/>
    </row>
    <row r="737" spans="3:3">
      <c r="C737" s="23"/>
    </row>
    <row r="738" spans="3:3">
      <c r="C738" s="23"/>
    </row>
    <row r="739" spans="3:3">
      <c r="C739" s="23"/>
    </row>
    <row r="740" spans="3:3">
      <c r="C740" s="23"/>
    </row>
    <row r="741" spans="3:3">
      <c r="C741" s="23"/>
    </row>
    <row r="742" spans="3:3">
      <c r="C742" s="23"/>
    </row>
    <row r="743" spans="3:3">
      <c r="C743" s="23"/>
    </row>
    <row r="744" spans="3:3">
      <c r="C744" s="23"/>
    </row>
    <row r="745" spans="3:3">
      <c r="C745" s="23"/>
    </row>
    <row r="746" spans="3:3">
      <c r="C746" s="23"/>
    </row>
    <row r="747" spans="3:3">
      <c r="C747" s="23"/>
    </row>
    <row r="748" spans="3:3">
      <c r="C748" s="23"/>
    </row>
    <row r="749" spans="3:3">
      <c r="C749" s="23"/>
    </row>
    <row r="750" spans="3:3">
      <c r="C750" s="23"/>
    </row>
    <row r="751" spans="3:3">
      <c r="C751" s="23"/>
    </row>
    <row r="752" spans="3:3">
      <c r="C752" s="23"/>
    </row>
    <row r="753" spans="3:3">
      <c r="C753" s="23"/>
    </row>
    <row r="754" spans="3:3">
      <c r="C754" s="23"/>
    </row>
    <row r="755" spans="3:3">
      <c r="C755" s="23"/>
    </row>
    <row r="756" spans="3:3">
      <c r="C756" s="23"/>
    </row>
    <row r="757" spans="3:3">
      <c r="C757" s="23"/>
    </row>
    <row r="758" spans="3:3">
      <c r="C758" s="23"/>
    </row>
    <row r="759" spans="3:3">
      <c r="C759" s="23"/>
    </row>
    <row r="760" spans="3:3">
      <c r="C760" s="23"/>
    </row>
    <row r="761" spans="3:3">
      <c r="C761" s="23"/>
    </row>
    <row r="762" spans="3:3">
      <c r="C762" s="23"/>
    </row>
    <row r="763" spans="3:3">
      <c r="C763" s="23"/>
    </row>
    <row r="764" spans="3:3">
      <c r="C764" s="23"/>
    </row>
    <row r="765" spans="3:3">
      <c r="C765" s="23"/>
    </row>
    <row r="766" spans="3:3">
      <c r="C766" s="23"/>
    </row>
    <row r="767" spans="3:3">
      <c r="C767" s="23"/>
    </row>
    <row r="768" spans="3:3">
      <c r="C768" s="23"/>
    </row>
    <row r="769" spans="3:3">
      <c r="C769" s="23"/>
    </row>
    <row r="770" spans="3:3">
      <c r="C770" s="23"/>
    </row>
    <row r="771" spans="3:3">
      <c r="C771" s="23"/>
    </row>
    <row r="772" spans="3:3">
      <c r="C772" s="23"/>
    </row>
    <row r="773" spans="3:3">
      <c r="C773" s="23"/>
    </row>
    <row r="774" spans="3:3">
      <c r="C774" s="23"/>
    </row>
    <row r="775" spans="3:3">
      <c r="C775" s="23"/>
    </row>
    <row r="776" spans="3:3">
      <c r="C776" s="23"/>
    </row>
    <row r="777" spans="3:3">
      <c r="C777" s="23"/>
    </row>
    <row r="778" spans="3:3">
      <c r="C778" s="23"/>
    </row>
    <row r="779" spans="3:3">
      <c r="C779" s="23"/>
    </row>
    <row r="780" spans="3:3">
      <c r="C780" s="23"/>
    </row>
    <row r="781" spans="3:3">
      <c r="C781" s="23"/>
    </row>
    <row r="782" spans="3:3">
      <c r="C782" s="23"/>
    </row>
    <row r="783" spans="3:3">
      <c r="C783" s="23"/>
    </row>
    <row r="784" spans="3:3">
      <c r="C784" s="20"/>
    </row>
    <row r="785" spans="3:3">
      <c r="C785" s="2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GS 8 </vt:lpstr>
      <vt:lpstr>GS 21</vt:lpstr>
      <vt:lpstr>GS 23</vt:lpstr>
      <vt:lpstr>GS 25 </vt:lpstr>
      <vt:lpstr>GS 31</vt:lpstr>
      <vt:lpstr>GS 39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Spencer Greenthompson</dc:creator>
  <cp:lastModifiedBy>Spencer Greenthompson</cp:lastModifiedBy>
  <dcterms:created xsi:type="dcterms:W3CDTF">2026-05-21T12:27:58Z</dcterms:created>
  <dcterms:modified xsi:type="dcterms:W3CDTF">2026-05-22T05:52:13Z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1033-12.1.0.26372</vt:lpwstr>
  </property>
  <property fmtid="{D5CDD505-2E9C-101B-9397-08002B2CF9AE}" pid="3" name="CalculationRule">
    <vt:i4>0</vt:i4>
  </property>
  <property fmtid="{D5CDD505-2E9C-101B-9397-08002B2CF9AE}" pid="4" name="ICV">
    <vt:lpwstr>915429BB400E4C3ABF463C86136E9476_13</vt:lpwstr>
  </property>
</Properties>
</file>